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ok\OneDrive\Desktop\"/>
    </mc:Choice>
  </mc:AlternateContent>
  <xr:revisionPtr revIDLastSave="0" documentId="8_{9B29BBF8-29DD-40B2-B3CF-BE975982B3FA}" xr6:coauthVersionLast="47" xr6:coauthVersionMax="47" xr10:uidLastSave="{00000000-0000-0000-0000-000000000000}"/>
  <bookViews>
    <workbookView xWindow="-108" yWindow="-108" windowWidth="23256" windowHeight="12456" xr2:uid="{5A170229-E5BE-4375-82E9-7A4B352BF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Q9" i="1"/>
  <c r="R9" i="1" s="1"/>
  <c r="T9" i="1" s="1"/>
  <c r="Q10" i="1"/>
  <c r="R10" i="1" s="1"/>
  <c r="T10" i="1" s="1"/>
  <c r="Q11" i="1"/>
  <c r="R11" i="1" s="1"/>
  <c r="T11" i="1" s="1"/>
  <c r="Q12" i="1"/>
  <c r="R12" i="1" s="1"/>
  <c r="T12" i="1" s="1"/>
  <c r="Q13" i="1"/>
  <c r="R13" i="1" s="1"/>
  <c r="T13" i="1" s="1"/>
  <c r="Q14" i="1"/>
  <c r="R14" i="1" s="1"/>
  <c r="T14" i="1" s="1"/>
  <c r="Q15" i="1"/>
  <c r="R15" i="1" s="1"/>
  <c r="T15" i="1" s="1"/>
  <c r="Q16" i="1"/>
  <c r="R16" i="1" s="1"/>
  <c r="T16" i="1" s="1"/>
  <c r="Q17" i="1"/>
  <c r="R17" i="1" s="1"/>
  <c r="T17" i="1" s="1"/>
  <c r="Q18" i="1"/>
  <c r="R18" i="1" s="1"/>
  <c r="T18" i="1" s="1"/>
  <c r="Q19" i="1"/>
  <c r="R19" i="1" s="1"/>
  <c r="T19" i="1" s="1"/>
  <c r="Q20" i="1"/>
  <c r="R20" i="1" s="1"/>
  <c r="T20" i="1" s="1"/>
  <c r="Q21" i="1"/>
  <c r="R21" i="1" s="1"/>
  <c r="T21" i="1" s="1"/>
  <c r="Q22" i="1"/>
  <c r="R22" i="1" s="1"/>
  <c r="T22" i="1" s="1"/>
  <c r="Q23" i="1"/>
  <c r="R23" i="1" s="1"/>
  <c r="T23" i="1" s="1"/>
  <c r="Q24" i="1"/>
  <c r="R24" i="1" s="1"/>
  <c r="T24" i="1" s="1"/>
  <c r="Q25" i="1"/>
  <c r="R25" i="1" s="1"/>
  <c r="T25" i="1" s="1"/>
  <c r="Q26" i="1"/>
  <c r="R26" i="1" s="1"/>
  <c r="T26" i="1" s="1"/>
  <c r="Q27" i="1"/>
  <c r="R27" i="1" s="1"/>
  <c r="T27" i="1" s="1"/>
  <c r="Q28" i="1"/>
  <c r="R28" i="1" s="1"/>
  <c r="T28" i="1" s="1"/>
  <c r="Q29" i="1"/>
  <c r="R29" i="1" s="1"/>
  <c r="T29" i="1" s="1"/>
  <c r="Q30" i="1"/>
  <c r="R30" i="1" s="1"/>
  <c r="T30" i="1" s="1"/>
  <c r="Q31" i="1"/>
  <c r="R31" i="1" s="1"/>
  <c r="T31" i="1" s="1"/>
  <c r="Q32" i="1"/>
  <c r="R32" i="1" s="1"/>
  <c r="T32" i="1" s="1"/>
  <c r="Q33" i="1"/>
  <c r="R33" i="1" s="1"/>
  <c r="T33" i="1" s="1"/>
  <c r="Q34" i="1"/>
  <c r="R34" i="1" s="1"/>
  <c r="T34" i="1" s="1"/>
  <c r="Q35" i="1"/>
  <c r="R35" i="1" s="1"/>
  <c r="T35" i="1" s="1"/>
  <c r="Q36" i="1"/>
  <c r="R36" i="1" s="1"/>
  <c r="T36" i="1" s="1"/>
  <c r="Q37" i="1"/>
  <c r="R37" i="1" s="1"/>
  <c r="T37" i="1" s="1"/>
  <c r="Q38" i="1"/>
  <c r="R38" i="1" s="1"/>
  <c r="T38" i="1" s="1"/>
  <c r="Q39" i="1"/>
  <c r="R39" i="1" s="1"/>
  <c r="T39" i="1" s="1"/>
  <c r="Q40" i="1"/>
  <c r="R40" i="1" s="1"/>
  <c r="T40" i="1" s="1"/>
  <c r="Q41" i="1"/>
  <c r="R41" i="1" s="1"/>
  <c r="T41" i="1" s="1"/>
  <c r="Q42" i="1"/>
  <c r="R42" i="1" s="1"/>
  <c r="T42" i="1" s="1"/>
  <c r="Q43" i="1"/>
  <c r="R43" i="1" s="1"/>
  <c r="T43" i="1" s="1"/>
  <c r="Q44" i="1"/>
  <c r="R44" i="1" s="1"/>
  <c r="T44" i="1" s="1"/>
  <c r="Q45" i="1"/>
  <c r="R45" i="1" s="1"/>
  <c r="T45" i="1" s="1"/>
  <c r="Q46" i="1"/>
  <c r="R46" i="1" s="1"/>
  <c r="T46" i="1" s="1"/>
  <c r="Q47" i="1"/>
  <c r="R47" i="1" s="1"/>
  <c r="T47" i="1" s="1"/>
  <c r="Q48" i="1"/>
  <c r="R48" i="1" s="1"/>
  <c r="T48" i="1" s="1"/>
  <c r="Q49" i="1"/>
  <c r="R49" i="1" s="1"/>
  <c r="T49" i="1" s="1"/>
  <c r="Q50" i="1"/>
  <c r="R50" i="1" s="1"/>
  <c r="T50" i="1" s="1"/>
  <c r="Q51" i="1"/>
  <c r="R51" i="1" s="1"/>
  <c r="T51" i="1" s="1"/>
  <c r="Q52" i="1"/>
  <c r="R52" i="1" s="1"/>
  <c r="T52" i="1" s="1"/>
  <c r="Q53" i="1"/>
  <c r="R53" i="1" s="1"/>
  <c r="T53" i="1" s="1"/>
  <c r="Q54" i="1"/>
  <c r="R54" i="1" s="1"/>
  <c r="T54" i="1" s="1"/>
  <c r="Q55" i="1"/>
  <c r="R55" i="1" s="1"/>
  <c r="T55" i="1" s="1"/>
  <c r="Q56" i="1"/>
  <c r="R56" i="1" s="1"/>
  <c r="T56" i="1" s="1"/>
  <c r="Q7" i="1"/>
  <c r="R7" i="1" s="1"/>
  <c r="T7" i="1" s="1"/>
  <c r="Q8" i="1"/>
  <c r="R8" i="1" s="1"/>
  <c r="T8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48" i="1"/>
  <c r="S48" i="1" s="1"/>
  <c r="P49" i="1"/>
  <c r="S49" i="1" s="1"/>
  <c r="P50" i="1"/>
  <c r="S50" i="1" s="1"/>
  <c r="P51" i="1"/>
  <c r="S51" i="1" s="1"/>
  <c r="P52" i="1"/>
  <c r="S52" i="1" s="1"/>
  <c r="P53" i="1"/>
  <c r="S53" i="1" s="1"/>
  <c r="P54" i="1"/>
  <c r="S54" i="1" s="1"/>
  <c r="P55" i="1"/>
  <c r="S55" i="1" s="1"/>
  <c r="P56" i="1"/>
  <c r="S56" i="1" s="1"/>
  <c r="K3" i="1" l="1"/>
  <c r="G3" i="1"/>
  <c r="V47" i="1"/>
  <c r="V17" i="1"/>
  <c r="V32" i="1"/>
  <c r="V51" i="1"/>
  <c r="V19" i="1"/>
  <c r="V33" i="1"/>
  <c r="V15" i="1"/>
  <c r="V50" i="1"/>
  <c r="V48" i="1"/>
  <c r="V16" i="1"/>
  <c r="V31" i="1"/>
  <c r="V18" i="1"/>
  <c r="V49" i="1"/>
  <c r="V46" i="1"/>
  <c r="V14" i="1"/>
  <c r="V45" i="1"/>
  <c r="V13" i="1"/>
  <c r="V44" i="1"/>
  <c r="V12" i="1"/>
  <c r="V43" i="1"/>
  <c r="V11" i="1"/>
  <c r="V26" i="1"/>
  <c r="V41" i="1"/>
  <c r="V9" i="1"/>
  <c r="V56" i="1"/>
  <c r="V24" i="1"/>
  <c r="V55" i="1"/>
  <c r="V39" i="1"/>
  <c r="V7" i="1"/>
  <c r="V35" i="1"/>
  <c r="V54" i="1"/>
  <c r="V38" i="1"/>
  <c r="V52" i="1"/>
  <c r="V36" i="1"/>
  <c r="V30" i="1"/>
  <c r="V29" i="1"/>
  <c r="V28" i="1"/>
  <c r="V27" i="1"/>
  <c r="V42" i="1"/>
  <c r="V10" i="1"/>
  <c r="V25" i="1"/>
  <c r="V40" i="1"/>
  <c r="V8" i="1"/>
  <c r="V23" i="1"/>
  <c r="V34" i="1"/>
  <c r="V53" i="1"/>
  <c r="V37" i="1"/>
  <c r="V21" i="1"/>
  <c r="V20" i="1"/>
  <c r="V22" i="1"/>
  <c r="Y4" i="1" l="1"/>
  <c r="Y3" i="1"/>
  <c r="B3" i="1"/>
</calcChain>
</file>

<file path=xl/sharedStrings.xml><?xml version="1.0" encoding="utf-8"?>
<sst xmlns="http://schemas.openxmlformats.org/spreadsheetml/2006/main" count="183" uniqueCount="143">
  <si>
    <t>SKU_ID</t>
  </si>
  <si>
    <t>Brand_Name</t>
  </si>
  <si>
    <t>Category</t>
  </si>
  <si>
    <t>SKU_101</t>
  </si>
  <si>
    <t>Base_Lead_Time_Days</t>
  </si>
  <si>
    <t>Shelf_Life_Days</t>
  </si>
  <si>
    <t>MOQ_Units</t>
  </si>
  <si>
    <t>On_Order_Stock</t>
  </si>
  <si>
    <t>Daily_Demand_StdDev</t>
  </si>
  <si>
    <t>On_Hand_Stock</t>
  </si>
  <si>
    <t>Daily_Demand_Avg</t>
  </si>
  <si>
    <t>Service_Level</t>
  </si>
  <si>
    <t>Annual_Demand_Units</t>
  </si>
  <si>
    <t>Holding_Rate</t>
  </si>
  <si>
    <t>Order_Cost_INR</t>
  </si>
  <si>
    <t>Parachute Coconut Oil 500ml</t>
  </si>
  <si>
    <t>Hair Care</t>
  </si>
  <si>
    <t>SKU-102</t>
  </si>
  <si>
    <t>Parachute Coconut Oil 200ml</t>
  </si>
  <si>
    <t>SKU-103</t>
  </si>
  <si>
    <t>Parachute Advansed Aloe Vera 250ml</t>
  </si>
  <si>
    <t>SKU-104</t>
  </si>
  <si>
    <t>Saffola Gold Edible Oil 1L</t>
  </si>
  <si>
    <t>Edible Oils</t>
  </si>
  <si>
    <t>SKU-105</t>
  </si>
  <si>
    <t>Saffola Gold Edible Oil 5L Jar</t>
  </si>
  <si>
    <t>SKU-106</t>
  </si>
  <si>
    <t>Saffola Total Edible Oil 1L</t>
  </si>
  <si>
    <t>SKU-107</t>
  </si>
  <si>
    <t>Saffola Oats 1kg</t>
  </si>
  <si>
    <t>Foods</t>
  </si>
  <si>
    <t>SKU-108</t>
  </si>
  <si>
    <t>Saffola Oats Veggie Twist 40g</t>
  </si>
  <si>
    <t>SKU-109</t>
  </si>
  <si>
    <t>Saffola FITTIFY Peanut Butter 375g</t>
  </si>
  <si>
    <t>SKU-110</t>
  </si>
  <si>
    <t>Livon Hair Serum 100ml</t>
  </si>
  <si>
    <t>Personal Care</t>
  </si>
  <si>
    <t>SKU-111</t>
  </si>
  <si>
    <t>Livon Hair Serum 50ml</t>
  </si>
  <si>
    <t>SKU-112</t>
  </si>
  <si>
    <t>Nihar Shanti Amla Hair Oil 200ml</t>
  </si>
  <si>
    <t>SKU-113</t>
  </si>
  <si>
    <t>Nihar Natural Jasmine Hair Oil 300ml</t>
  </si>
  <si>
    <t>SKU-114</t>
  </si>
  <si>
    <t>Mediker Anti-Lice Shampoo 175ml</t>
  </si>
  <si>
    <t>SKU-115</t>
  </si>
  <si>
    <t>Revive Liquid Starch 200ml</t>
  </si>
  <si>
    <t>Fabric Care</t>
  </si>
  <si>
    <t>SKU-116</t>
  </si>
  <si>
    <t>Set Wet Hair Gel Cool Hold 100g</t>
  </si>
  <si>
    <t>Male Grooming</t>
  </si>
  <si>
    <t>SKU-117</t>
  </si>
  <si>
    <t>Set Wet Body Spray Charm 150ml</t>
  </si>
  <si>
    <t>SKU-118</t>
  </si>
  <si>
    <t>Parachute Jasmine Hair Oil 400ml</t>
  </si>
  <si>
    <t>SKU-119</t>
  </si>
  <si>
    <t>Saffola Active Edible Oil 1L</t>
  </si>
  <si>
    <t>SKU-120</t>
  </si>
  <si>
    <t>Saffola Masala Oats Classic 500g</t>
  </si>
  <si>
    <t>SKU-121</t>
  </si>
  <si>
    <t>Parachute Body Lotion Deep Nourish 400ml</t>
  </si>
  <si>
    <t>Skincare</t>
  </si>
  <si>
    <t>SKU-122</t>
  </si>
  <si>
    <t>Parachute Body Lotion Soft Touch 200ml</t>
  </si>
  <si>
    <t>SKU-123</t>
  </si>
  <si>
    <t>Saffola Honey 500g Squeezy</t>
  </si>
  <si>
    <t>SKU-124</t>
  </si>
  <si>
    <t>Saffola Honey 250g Jar</t>
  </si>
  <si>
    <t>SKU-125</t>
  </si>
  <si>
    <t>Coco Soul Cold Pressed Virgin Coconut Oil 250ml</t>
  </si>
  <si>
    <t>Premium Foods</t>
  </si>
  <si>
    <t>SKU-126</t>
  </si>
  <si>
    <t>Pure Sense Macadamia Body Wash 300ml</t>
  </si>
  <si>
    <t>SKU-127</t>
  </si>
  <si>
    <t>Beardo Hair Growth Oil 50ml</t>
  </si>
  <si>
    <t>Grooming</t>
  </si>
  <si>
    <t>SKU-128</t>
  </si>
  <si>
    <t>Beardo Godfather Beard Wash 100ml</t>
  </si>
  <si>
    <t>SKU-129</t>
  </si>
  <si>
    <t>Kaya Youth Urban Protect Day Cream 50g</t>
  </si>
  <si>
    <t>SKU-130</t>
  </si>
  <si>
    <t>Saffola Oodles Instant Noodles 182g</t>
  </si>
  <si>
    <t>SKU-131</t>
  </si>
  <si>
    <t>Parachute Advansed Ayurvedic Hair Oil 200ml</t>
  </si>
  <si>
    <t>SKU-132</t>
  </si>
  <si>
    <t>Saffola Gold Oil 3L Jar</t>
  </si>
  <si>
    <t>SKU-133</t>
  </si>
  <si>
    <t>Saffola Soya Chunks 200g</t>
  </si>
  <si>
    <t>SKU-134</t>
  </si>
  <si>
    <t>Nihar Shanti Sarso Hair Oil 175ml</t>
  </si>
  <si>
    <t>SKU-135</t>
  </si>
  <si>
    <t>Livon Anti-Frizz Serum Sachet 5ml</t>
  </si>
  <si>
    <t>SKU-136</t>
  </si>
  <si>
    <t>Set Wet Deodorant Vertical 150ml</t>
  </si>
  <si>
    <t>SKU-137</t>
  </si>
  <si>
    <t>Parachute Coconut Oil Sachet 10ml</t>
  </si>
  <si>
    <t>SKU-138</t>
  </si>
  <si>
    <t>Saffola Mayonnaise Creamy 250g</t>
  </si>
  <si>
    <t>SKU-139</t>
  </si>
  <si>
    <t>Saffola Peanut Butter Crunchy 900g</t>
  </si>
  <si>
    <t>SKU-140</t>
  </si>
  <si>
    <t>Parachute Kalpvruksha Oil 1L</t>
  </si>
  <si>
    <t>SKU-141</t>
  </si>
  <si>
    <t>Saffola Immuniveda Kadha Mix 80g</t>
  </si>
  <si>
    <t>Healthcare</t>
  </si>
  <si>
    <t>SKU-142</t>
  </si>
  <si>
    <t>Coco Soul Coconut Milk 400ml</t>
  </si>
  <si>
    <t>SKU-143</t>
  </si>
  <si>
    <t>Beardo Charcoal Face Wash 100g</t>
  </si>
  <si>
    <t>SKU-144</t>
  </si>
  <si>
    <t>Mediker Anti-Lice Oil 50ml</t>
  </si>
  <si>
    <t>SKU-145</t>
  </si>
  <si>
    <t>Revive Instant Starch Powder 100g</t>
  </si>
  <si>
    <t>SKU-146</t>
  </si>
  <si>
    <t>Saffola Mealmaker Soya Chunks 1kg</t>
  </si>
  <si>
    <t>SKU-147</t>
  </si>
  <si>
    <t>Parachute Skin Pure Body Wash 250ml</t>
  </si>
  <si>
    <t>SKU-148</t>
  </si>
  <si>
    <t>Saffola Aura Olive &amp; Flaxseed Oil 500ml</t>
  </si>
  <si>
    <t>SKU-149</t>
  </si>
  <si>
    <t>Set Wet Studio X Deodorant 150ml</t>
  </si>
  <si>
    <t>SKU-150</t>
  </si>
  <si>
    <t>Livon Serum for Dry Hair 100ml</t>
  </si>
  <si>
    <t>Unit_Cost_INR</t>
  </si>
  <si>
    <t>Unit_Holding_Cost</t>
  </si>
  <si>
    <t>Z_Score</t>
  </si>
  <si>
    <t>Safety_Stock_Units</t>
  </si>
  <si>
    <t>EOQ Units</t>
  </si>
  <si>
    <t>ROP_Units</t>
  </si>
  <si>
    <t>Total_Available_Stock</t>
  </si>
  <si>
    <t>Order_Action</t>
  </si>
  <si>
    <t>SKUs AT REORDER POINT</t>
  </si>
  <si>
    <t>Action Required (Stocks &lt;= ROP)</t>
  </si>
  <si>
    <t>TOTAL SAFETY STOCK UNITS</t>
  </si>
  <si>
    <t>Total EOQ Working Capital</t>
  </si>
  <si>
    <t>Target Service Level: 90%-98%</t>
  </si>
  <si>
    <t>Optimal Working Capital for Batch</t>
  </si>
  <si>
    <t>Sufficient Stock</t>
  </si>
  <si>
    <t>Reorder Required</t>
  </si>
  <si>
    <t>Helper Data Table</t>
  </si>
  <si>
    <t>Numbers</t>
  </si>
  <si>
    <t>Top 15 SKUs: Batch Order Size (EOQ) vs. Buffer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</si>
</sst>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1" fontId="1" fillId="0" borderId="5" xfId="0" applyNumberFormat="1" applyFont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/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Continuous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Continuous" vertical="center"/>
    </xf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 applyAlignment="1"/>
  </cellXfs>
  <cellStyles count="1">
    <cellStyle name="Normal" xfId="0" builtinId="0"/>
  </cellStyles>
  <dxfs count="31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F8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Sheet1!$B$7:$B$20</c:f>
              <c:strCache>
                <c:ptCount val="14"/>
                <c:pt idx="0">
                  <c:v>Parachute Coconut Oil 500ml</c:v>
                </c:pt>
                <c:pt idx="1">
                  <c:v>Parachute Coconut Oil 200ml</c:v>
                </c:pt>
                <c:pt idx="2">
                  <c:v>Parachute Advansed Aloe Vera 250ml</c:v>
                </c:pt>
                <c:pt idx="3">
                  <c:v>Saffola Gold Edible Oil 1L</c:v>
                </c:pt>
                <c:pt idx="4">
                  <c:v>Saffola Gold Edible Oil 5L Jar</c:v>
                </c:pt>
                <c:pt idx="5">
                  <c:v>Saffola Total Edible Oil 1L</c:v>
                </c:pt>
                <c:pt idx="6">
                  <c:v>Saffola Oats 1kg</c:v>
                </c:pt>
                <c:pt idx="7">
                  <c:v>Saffola Oats Veggie Twist 40g</c:v>
                </c:pt>
                <c:pt idx="8">
                  <c:v>Saffola FITTIFY Peanut Butter 375g</c:v>
                </c:pt>
                <c:pt idx="9">
                  <c:v>Livon Hair Serum 100ml</c:v>
                </c:pt>
                <c:pt idx="10">
                  <c:v>Livon Hair Serum 50ml</c:v>
                </c:pt>
                <c:pt idx="11">
                  <c:v>Nihar Shanti Amla Hair Oil 200ml</c:v>
                </c:pt>
                <c:pt idx="12">
                  <c:v>Nihar Natural Jasmine Hair Oil 300ml</c:v>
                </c:pt>
                <c:pt idx="13">
                  <c:v>Mediker Anti-Lice Shampoo 175ml</c:v>
                </c:pt>
              </c:strCache>
            </c:strRef>
          </c:cat>
          <c:val>
            <c:numRef>
              <c:f>Sheet1!$R$7:$R$20</c:f>
              <c:numCache>
                <c:formatCode>General</c:formatCode>
                <c:ptCount val="14"/>
                <c:pt idx="0">
                  <c:v>147</c:v>
                </c:pt>
                <c:pt idx="1">
                  <c:v>66</c:v>
                </c:pt>
                <c:pt idx="2">
                  <c:v>29</c:v>
                </c:pt>
                <c:pt idx="3">
                  <c:v>84</c:v>
                </c:pt>
                <c:pt idx="4">
                  <c:v>25</c:v>
                </c:pt>
                <c:pt idx="5">
                  <c:v>34</c:v>
                </c:pt>
                <c:pt idx="6">
                  <c:v>43</c:v>
                </c:pt>
                <c:pt idx="7">
                  <c:v>82</c:v>
                </c:pt>
                <c:pt idx="8">
                  <c:v>15</c:v>
                </c:pt>
                <c:pt idx="9">
                  <c:v>22</c:v>
                </c:pt>
                <c:pt idx="10">
                  <c:v>37</c:v>
                </c:pt>
                <c:pt idx="11">
                  <c:v>67</c:v>
                </c:pt>
                <c:pt idx="12">
                  <c:v>36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2-48B6-918C-41E5FA7A0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986688"/>
        <c:axId val="214101424"/>
      </c:barChart>
      <c:catAx>
        <c:axId val="2699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1424"/>
        <c:crosses val="autoZero"/>
        <c:auto val="1"/>
        <c:lblAlgn val="ctr"/>
        <c:lblOffset val="100"/>
        <c:noMultiLvlLbl val="0"/>
      </c:catAx>
      <c:valAx>
        <c:axId val="2141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9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20412037037037037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Sheet1!$X$3:$X$4</c:f>
              <c:strCache>
                <c:ptCount val="2"/>
                <c:pt idx="0">
                  <c:v>Sufficient Stock</c:v>
                </c:pt>
                <c:pt idx="1">
                  <c:v>Reorder Required</c:v>
                </c:pt>
              </c:strCache>
            </c:strRef>
          </c:cat>
          <c:val>
            <c:numRef>
              <c:f>Sheet1!$Y$3:$Y$4</c:f>
              <c:numCache>
                <c:formatCode>General</c:formatCode>
                <c:ptCount val="2"/>
                <c:pt idx="0">
                  <c:v>35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2-4CA5-8AD4-9B4015DBA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486103</xdr:colOff>
      <xdr:row>24</xdr:row>
      <xdr:rowOff>11165</xdr:rowOff>
    </xdr:from>
    <xdr:to>
      <xdr:col>30</xdr:col>
      <xdr:colOff>85396</xdr:colOff>
      <xdr:row>33</xdr:row>
      <xdr:rowOff>356693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F9DAB-C4F3-B942-44D4-A13F1641D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591208</xdr:colOff>
      <xdr:row>5</xdr:row>
      <xdr:rowOff>13138</xdr:rowOff>
    </xdr:from>
    <xdr:to>
      <xdr:col>27</xdr:col>
      <xdr:colOff>256189</xdr:colOff>
      <xdr:row>18</xdr:row>
      <xdr:rowOff>34815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9BAD7A-6C0B-0665-E405-BD92C6901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C250D-B0AC-452D-9E8E-A60F1D35DC45}" name="Table1" displayName="Table1" ref="A6:V56" totalsRowShown="0" headerRowDxfId="6" dataDxfId="29" tableBorderDxfId="30">
  <autoFilter ref="A6:V56" xr:uid="{9FEC250D-B0AC-452D-9E8E-A60F1D35DC45}"/>
  <tableColumns count="22">
    <tableColumn id="1" xr3:uid="{66DF9F0B-39D5-4A76-A654-5E4C7D0B44BD}" name="SKU_ID" dataDxfId="21"/>
    <tableColumn id="2" xr3:uid="{AA8195D7-666A-4624-ACC7-4EAEFCFFE90C}" name="Brand_Name" dataDxfId="20"/>
    <tableColumn id="3" xr3:uid="{F802DE2C-F59C-42A6-AB6C-C2CDFB30972B}" name="Category" dataDxfId="19"/>
    <tableColumn id="4" xr3:uid="{D9E5F192-9ECD-421E-8988-173C5FC6C4AB}" name="Unit_Cost_INR" dataDxfId="18"/>
    <tableColumn id="5" xr3:uid="{4D4DD2F2-14B8-4721-BC8A-60735B86E3A4}" name="Holding_Rate" dataDxfId="17"/>
    <tableColumn id="6" xr3:uid="{779C4A7B-F89C-4B5B-A308-F2CA9DD5A54E}" name="Order_Cost_INR" dataDxfId="16"/>
    <tableColumn id="7" xr3:uid="{4E2603D9-4583-4652-8AF5-7DEB5546DE82}" name="Base_Lead_Time_Days" dataDxfId="15"/>
    <tableColumn id="8" xr3:uid="{825050F9-2BBE-49B7-B537-3D8E2BE0F834}" name="Service_Level" dataDxfId="14"/>
    <tableColumn id="9" xr3:uid="{814E06D6-3E50-4982-BE19-5B7FD87672C1}" name="Annual_Demand_Units" dataDxfId="13"/>
    <tableColumn id="10" xr3:uid="{5E9015C1-1378-43F0-9680-29D140720D91}" name="Daily_Demand_Avg" dataDxfId="12"/>
    <tableColumn id="11" xr3:uid="{D7CED457-EB4D-4EE6-85BC-866603AD2B93}" name="Daily_Demand_StdDev" dataDxfId="11"/>
    <tableColumn id="12" xr3:uid="{FB7B9282-5B60-4786-8D05-63A10EA613F6}" name="On_Hand_Stock" dataDxfId="10"/>
    <tableColumn id="13" xr3:uid="{17125CC4-ACA2-4661-916C-66D1E0074A88}" name="On_Order_Stock" dataDxfId="9"/>
    <tableColumn id="14" xr3:uid="{C8FFCD81-2136-4576-A97A-174F1C056656}" name="MOQ_Units" dataDxfId="8"/>
    <tableColumn id="15" xr3:uid="{8236752C-C68E-4A9C-B6AF-1EE222778D75}" name="Shelf_Life_Days" dataDxfId="7"/>
    <tableColumn id="16" xr3:uid="{F53B661B-0F1A-424B-ADBC-D4106F5D20FD}" name="Unit_Holding_Cost" dataDxfId="28">
      <calculatedColumnFormula>D7*E7</calculatedColumnFormula>
    </tableColumn>
    <tableColumn id="17" xr3:uid="{BAE213B7-1D13-4FDE-A58C-E3B9CF32F05C}" name="Z_Score" dataDxfId="27">
      <calculatedColumnFormula>_xlfn.NORM.S.INV(H7)</calculatedColumnFormula>
    </tableColumn>
    <tableColumn id="18" xr3:uid="{A8655A51-8ED0-49E0-8780-B33E3C045590}" name="Safety_Stock_Units" dataDxfId="26">
      <calculatedColumnFormula>ROUNDUP(Q7 * K7 * SQRT(G7), 0)</calculatedColumnFormula>
    </tableColumn>
    <tableColumn id="19" xr3:uid="{8617A36C-64F9-4F5E-B5B4-51B2540E00F8}" name="EOQ Units" dataDxfId="25">
      <calculatedColumnFormula>ROUND(SQRT((2 * I7 * F7) / P7), 0)</calculatedColumnFormula>
    </tableColumn>
    <tableColumn id="20" xr3:uid="{1635681E-7C4E-4C01-88C9-E67B8CF645CF}" name="ROP_Units" dataDxfId="24">
      <calculatedColumnFormula>ROUNDUP((J7 * G7) + R7, 0)</calculatedColumnFormula>
    </tableColumn>
    <tableColumn id="21" xr3:uid="{B24EE1BD-DEF4-4215-94DB-4CC99123B5B6}" name="Total_Available_Stock" dataDxfId="23">
      <calculatedColumnFormula>L7 + M7</calculatedColumnFormula>
    </tableColumn>
    <tableColumn id="22" xr3:uid="{D7BBECB5-26C2-4370-9C84-54237E216167}" name="Order_Action" dataDxfId="22">
      <calculatedColumnFormula>IF(U7 &lt;= T7, CONCATENATE("REORDER ", MAX(S7, N7), " UNITS"), "OK - STOCK SUFFICIENT")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EE109-8AAD-4B96-B945-D3D2D8B7AB1B}" name="Table2" displayName="Table2" ref="X2:Y4" totalsRowShown="0" headerRowDxfId="1" headerRowBorderDxfId="4" tableBorderDxfId="5" totalsRowBorderDxfId="3">
  <autoFilter ref="X2:Y4" xr:uid="{838EE109-8AAD-4B96-B945-D3D2D8B7AB1B}"/>
  <tableColumns count="2">
    <tableColumn id="1" xr3:uid="{F01E912D-1B44-469F-92EF-DB4C2CE354A2}" name="Helper Data Table" dataDxfId="0"/>
    <tableColumn id="2" xr3:uid="{86B67222-98E8-47C3-8950-6842771161E5}" name="Numbers" dataDxfId="2">
      <calculatedColumnFormula>COUNTIF(V6:V55, "*REORDER*")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5594-8A14-4C8E-AED9-02EAFE84147A}">
  <dimension ref="A2:AC56"/>
  <sheetViews>
    <sheetView tabSelected="1" topLeftCell="T9" zoomScale="116" workbookViewId="0">
      <selection activeCell="AC23" sqref="AC23"/>
    </sheetView>
  </sheetViews>
  <sheetFormatPr defaultRowHeight="14.4" x14ac:dyDescent="0.3"/>
  <cols>
    <col min="1" max="1" width="13.33203125" style="1" customWidth="1"/>
    <col min="2" max="2" width="36" customWidth="1"/>
    <col min="3" max="3" width="18.44140625" style="2" customWidth="1"/>
    <col min="4" max="4" width="24" style="2" customWidth="1"/>
    <col min="5" max="5" width="21.21875" style="2" customWidth="1"/>
    <col min="6" max="6" width="25.33203125" style="2" customWidth="1"/>
    <col min="7" max="7" width="30.5546875" style="2" customWidth="1"/>
    <col min="8" max="8" width="22.5546875" style="2" customWidth="1"/>
    <col min="9" max="9" width="29.88671875" style="2" customWidth="1"/>
    <col min="10" max="10" width="28.6640625" style="2" customWidth="1"/>
    <col min="11" max="11" width="31.77734375" style="2" customWidth="1"/>
    <col min="12" max="12" width="25" style="2" customWidth="1"/>
    <col min="13" max="13" width="25.6640625" style="2" customWidth="1"/>
    <col min="14" max="14" width="18.77734375" style="2" customWidth="1"/>
    <col min="15" max="15" width="23.88671875" style="28" customWidth="1"/>
    <col min="16" max="16" width="26.21875" customWidth="1"/>
    <col min="17" max="17" width="16.44140625" customWidth="1"/>
    <col min="18" max="18" width="26" style="2" customWidth="1"/>
    <col min="19" max="19" width="19" customWidth="1"/>
    <col min="20" max="20" width="19.109375" customWidth="1"/>
    <col min="21" max="21" width="29.88671875" customWidth="1"/>
    <col min="22" max="22" width="29" customWidth="1"/>
    <col min="24" max="24" width="18" customWidth="1"/>
    <col min="25" max="25" width="10" customWidth="1"/>
  </cols>
  <sheetData>
    <row r="2" spans="1:25" ht="16.8" x14ac:dyDescent="0.4">
      <c r="B2" s="33" t="s">
        <v>132</v>
      </c>
      <c r="C2" s="33"/>
      <c r="D2" s="33"/>
      <c r="F2" s="32"/>
      <c r="G2" s="34" t="s">
        <v>134</v>
      </c>
      <c r="H2" s="31"/>
      <c r="J2" s="35"/>
      <c r="K2" s="34" t="s">
        <v>135</v>
      </c>
      <c r="L2" s="35"/>
      <c r="X2" s="39" t="s">
        <v>140</v>
      </c>
      <c r="Y2" s="40" t="s">
        <v>141</v>
      </c>
    </row>
    <row r="3" spans="1:25" ht="16.8" x14ac:dyDescent="0.4">
      <c r="B3" s="33">
        <f>COUNTIF(V7:V56, "*REORDER*")</f>
        <v>15</v>
      </c>
      <c r="C3" s="33"/>
      <c r="D3" s="33"/>
      <c r="F3" s="32"/>
      <c r="G3" s="34">
        <f>SUM(R7:R56)</f>
        <v>2178</v>
      </c>
      <c r="H3" s="31"/>
      <c r="J3" s="35"/>
      <c r="K3" s="34">
        <f>SUMPRODUCT(S7:S56, D7:D56)</f>
        <v>4039219</v>
      </c>
      <c r="L3" s="35"/>
      <c r="X3" s="37" t="s">
        <v>138</v>
      </c>
      <c r="Y3" s="38">
        <f>COUNTIF(V7:V56, "*SUFFICIENT*")</f>
        <v>35</v>
      </c>
    </row>
    <row r="4" spans="1:25" ht="16.8" x14ac:dyDescent="0.4">
      <c r="B4" s="33" t="s">
        <v>133</v>
      </c>
      <c r="C4" s="33"/>
      <c r="D4" s="33"/>
      <c r="F4" s="32"/>
      <c r="G4" s="34" t="s">
        <v>136</v>
      </c>
      <c r="H4" s="31"/>
      <c r="J4" s="35"/>
      <c r="K4" s="34" t="s">
        <v>137</v>
      </c>
      <c r="L4" s="35"/>
      <c r="X4" s="41" t="s">
        <v>139</v>
      </c>
      <c r="Y4" s="42">
        <f>COUNTIF(V7:V56, "*REORDER*")</f>
        <v>15</v>
      </c>
    </row>
    <row r="6" spans="1:25" s="29" customFormat="1" ht="17.399999999999999" x14ac:dyDescent="0.45">
      <c r="A6" s="14" t="s">
        <v>0</v>
      </c>
      <c r="B6" s="7" t="s">
        <v>1</v>
      </c>
      <c r="C6" s="8" t="s">
        <v>2</v>
      </c>
      <c r="D6" s="8" t="s">
        <v>124</v>
      </c>
      <c r="E6" s="8" t="s">
        <v>13</v>
      </c>
      <c r="F6" s="8" t="s">
        <v>14</v>
      </c>
      <c r="G6" s="8" t="s">
        <v>4</v>
      </c>
      <c r="H6" s="8" t="s">
        <v>11</v>
      </c>
      <c r="I6" s="8" t="s">
        <v>12</v>
      </c>
      <c r="J6" s="5" t="s">
        <v>10</v>
      </c>
      <c r="K6" s="5" t="s">
        <v>8</v>
      </c>
      <c r="L6" s="5" t="s">
        <v>9</v>
      </c>
      <c r="M6" s="5" t="s">
        <v>7</v>
      </c>
      <c r="N6" s="5" t="s">
        <v>6</v>
      </c>
      <c r="O6" s="25" t="s">
        <v>5</v>
      </c>
      <c r="P6" s="30" t="s">
        <v>125</v>
      </c>
      <c r="Q6" s="30" t="s">
        <v>126</v>
      </c>
      <c r="R6" s="30" t="s">
        <v>127</v>
      </c>
      <c r="S6" s="30" t="s">
        <v>128</v>
      </c>
      <c r="T6" s="30" t="s">
        <v>129</v>
      </c>
      <c r="U6" s="30" t="s">
        <v>130</v>
      </c>
      <c r="V6" s="30" t="s">
        <v>131</v>
      </c>
    </row>
    <row r="7" spans="1:25" ht="15" thickBot="1" x14ac:dyDescent="0.35">
      <c r="A7" s="15" t="s">
        <v>3</v>
      </c>
      <c r="B7" s="9" t="s">
        <v>15</v>
      </c>
      <c r="C7" s="10" t="s">
        <v>16</v>
      </c>
      <c r="D7" s="10">
        <v>180</v>
      </c>
      <c r="E7" s="10">
        <v>0.18</v>
      </c>
      <c r="F7" s="11">
        <v>450</v>
      </c>
      <c r="G7" s="10">
        <v>70</v>
      </c>
      <c r="H7" s="10">
        <v>0.98</v>
      </c>
      <c r="I7" s="10">
        <v>15000</v>
      </c>
      <c r="J7" s="4">
        <v>50</v>
      </c>
      <c r="K7" s="4">
        <v>8.5</v>
      </c>
      <c r="L7" s="4">
        <v>420</v>
      </c>
      <c r="M7" s="4">
        <v>0</v>
      </c>
      <c r="N7" s="4">
        <v>500</v>
      </c>
      <c r="O7" s="26">
        <v>730</v>
      </c>
      <c r="P7" s="23">
        <f t="shared" ref="P7:P38" si="0">D7*E7</f>
        <v>32.4</v>
      </c>
      <c r="Q7" s="18">
        <f t="shared" ref="Q7:Q56" si="1">_xlfn.NORM.S.INV(H7)</f>
        <v>2.0537489106318221</v>
      </c>
      <c r="R7" s="2">
        <f t="shared" ref="R7:R38" si="2">ROUNDUP(Q7 * K7 * SQRT(G7), 0)</f>
        <v>147</v>
      </c>
      <c r="S7" s="20">
        <f t="shared" ref="S7:S38" si="3">ROUND(SQRT((2 * I7 * F7) / P7), 0)</f>
        <v>645</v>
      </c>
      <c r="T7" s="20">
        <f t="shared" ref="T7:T38" si="4">ROUNDUP((J7 * G7) + R7, 0)</f>
        <v>3647</v>
      </c>
      <c r="U7" s="20">
        <f t="shared" ref="U7:U38" si="5">L7 + M7</f>
        <v>420</v>
      </c>
      <c r="V7" s="21" t="str">
        <f t="shared" ref="V7:V38" si="6">IF(U7 &lt;= T7, CONCATENATE("REORDER ", MAX(S7, N7), " UNITS"), "OK - STOCK SUFFICIENT")</f>
        <v>REORDER 645 UNITS</v>
      </c>
    </row>
    <row r="8" spans="1:25" ht="15" thickBot="1" x14ac:dyDescent="0.35">
      <c r="A8" s="16" t="s">
        <v>17</v>
      </c>
      <c r="B8" s="13" t="s">
        <v>18</v>
      </c>
      <c r="C8" s="12" t="s">
        <v>16</v>
      </c>
      <c r="D8" s="12">
        <v>85</v>
      </c>
      <c r="E8" s="12">
        <v>0.18</v>
      </c>
      <c r="F8" s="12">
        <v>400</v>
      </c>
      <c r="G8" s="12">
        <v>5</v>
      </c>
      <c r="H8" s="12">
        <v>0.98</v>
      </c>
      <c r="I8" s="12">
        <v>28000</v>
      </c>
      <c r="J8" s="6">
        <v>93.3</v>
      </c>
      <c r="K8" s="3">
        <v>14.2</v>
      </c>
      <c r="L8" s="3">
        <v>850</v>
      </c>
      <c r="M8" s="3">
        <v>1000</v>
      </c>
      <c r="N8" s="22">
        <v>1000</v>
      </c>
      <c r="O8" s="27">
        <v>730</v>
      </c>
      <c r="P8" s="6">
        <f t="shared" si="0"/>
        <v>15.299999999999999</v>
      </c>
      <c r="Q8" s="19">
        <f t="shared" si="1"/>
        <v>2.0537489106318221</v>
      </c>
      <c r="R8" s="3">
        <f t="shared" si="2"/>
        <v>66</v>
      </c>
      <c r="S8" s="20">
        <f t="shared" si="3"/>
        <v>1210</v>
      </c>
      <c r="T8" s="20">
        <f t="shared" si="4"/>
        <v>533</v>
      </c>
      <c r="U8" s="20">
        <f t="shared" si="5"/>
        <v>1850</v>
      </c>
      <c r="V8" s="21" t="str">
        <f t="shared" si="6"/>
        <v>OK - STOCK SUFFICIENT</v>
      </c>
    </row>
    <row r="9" spans="1:25" ht="28.2" thickBot="1" x14ac:dyDescent="0.35">
      <c r="A9" s="16" t="s">
        <v>19</v>
      </c>
      <c r="B9" s="13" t="s">
        <v>20</v>
      </c>
      <c r="C9" s="12" t="s">
        <v>16</v>
      </c>
      <c r="D9" s="12">
        <v>140</v>
      </c>
      <c r="E9" s="12">
        <v>0.18</v>
      </c>
      <c r="F9" s="12">
        <v>420</v>
      </c>
      <c r="G9" s="12">
        <v>6</v>
      </c>
      <c r="H9" s="12">
        <v>0.95</v>
      </c>
      <c r="I9" s="12">
        <v>12000</v>
      </c>
      <c r="J9" s="6">
        <v>40</v>
      </c>
      <c r="K9" s="3">
        <v>7.1</v>
      </c>
      <c r="L9" s="3">
        <v>310</v>
      </c>
      <c r="M9" s="3">
        <v>0</v>
      </c>
      <c r="N9" s="22">
        <v>400</v>
      </c>
      <c r="O9" s="27">
        <v>730</v>
      </c>
      <c r="P9" s="6">
        <f t="shared" si="0"/>
        <v>25.2</v>
      </c>
      <c r="Q9" s="19">
        <f t="shared" si="1"/>
        <v>1.6448536269514715</v>
      </c>
      <c r="R9" s="3">
        <f t="shared" si="2"/>
        <v>29</v>
      </c>
      <c r="S9" s="20">
        <f t="shared" si="3"/>
        <v>632</v>
      </c>
      <c r="T9" s="20">
        <f t="shared" si="4"/>
        <v>269</v>
      </c>
      <c r="U9" s="20">
        <f t="shared" si="5"/>
        <v>310</v>
      </c>
      <c r="V9" s="21" t="str">
        <f t="shared" si="6"/>
        <v>OK - STOCK SUFFICIENT</v>
      </c>
    </row>
    <row r="10" spans="1:25" ht="15" thickBot="1" x14ac:dyDescent="0.35">
      <c r="A10" s="16" t="s">
        <v>21</v>
      </c>
      <c r="B10" s="13" t="s">
        <v>22</v>
      </c>
      <c r="C10" s="12" t="s">
        <v>23</v>
      </c>
      <c r="D10" s="12">
        <v>165</v>
      </c>
      <c r="E10" s="12">
        <v>0.2</v>
      </c>
      <c r="F10" s="12">
        <v>500</v>
      </c>
      <c r="G10" s="12">
        <v>10</v>
      </c>
      <c r="H10" s="12">
        <v>0.98</v>
      </c>
      <c r="I10" s="12">
        <v>22000</v>
      </c>
      <c r="J10" s="6">
        <v>73.3</v>
      </c>
      <c r="K10" s="3">
        <v>12.8</v>
      </c>
      <c r="L10" s="3">
        <v>620</v>
      </c>
      <c r="M10" s="3">
        <v>1200</v>
      </c>
      <c r="N10" s="22">
        <v>800</v>
      </c>
      <c r="O10" s="27">
        <v>365</v>
      </c>
      <c r="P10" s="6">
        <f t="shared" si="0"/>
        <v>33</v>
      </c>
      <c r="Q10" s="19">
        <f t="shared" si="1"/>
        <v>2.0537489106318221</v>
      </c>
      <c r="R10" s="3">
        <f t="shared" si="2"/>
        <v>84</v>
      </c>
      <c r="S10" s="20">
        <f t="shared" si="3"/>
        <v>816</v>
      </c>
      <c r="T10" s="20">
        <f t="shared" si="4"/>
        <v>817</v>
      </c>
      <c r="U10" s="20">
        <f t="shared" si="5"/>
        <v>1820</v>
      </c>
      <c r="V10" s="21" t="str">
        <f t="shared" si="6"/>
        <v>OK - STOCK SUFFICIENT</v>
      </c>
    </row>
    <row r="11" spans="1:25" ht="15" thickBot="1" x14ac:dyDescent="0.35">
      <c r="A11" s="16" t="s">
        <v>24</v>
      </c>
      <c r="B11" s="13" t="s">
        <v>25</v>
      </c>
      <c r="C11" s="12" t="s">
        <v>23</v>
      </c>
      <c r="D11" s="12">
        <v>780</v>
      </c>
      <c r="E11" s="12">
        <v>0.22</v>
      </c>
      <c r="F11" s="12">
        <v>600</v>
      </c>
      <c r="G11" s="12">
        <v>12</v>
      </c>
      <c r="H11" s="12">
        <v>0.95</v>
      </c>
      <c r="I11" s="12">
        <v>6500</v>
      </c>
      <c r="J11" s="6">
        <v>21.7</v>
      </c>
      <c r="K11" s="3">
        <v>4.3</v>
      </c>
      <c r="L11" s="3">
        <v>180</v>
      </c>
      <c r="M11" s="3">
        <v>0</v>
      </c>
      <c r="N11" s="22">
        <v>200</v>
      </c>
      <c r="O11" s="27">
        <v>365</v>
      </c>
      <c r="P11" s="6">
        <f t="shared" si="0"/>
        <v>171.6</v>
      </c>
      <c r="Q11" s="19">
        <f t="shared" si="1"/>
        <v>1.6448536269514715</v>
      </c>
      <c r="R11" s="3">
        <f t="shared" si="2"/>
        <v>25</v>
      </c>
      <c r="S11" s="20">
        <f t="shared" si="3"/>
        <v>213</v>
      </c>
      <c r="T11" s="20">
        <f t="shared" si="4"/>
        <v>286</v>
      </c>
      <c r="U11" s="20">
        <f t="shared" si="5"/>
        <v>180</v>
      </c>
      <c r="V11" s="21" t="str">
        <f t="shared" si="6"/>
        <v>REORDER 213 UNITS</v>
      </c>
    </row>
    <row r="12" spans="1:25" ht="15" thickBot="1" x14ac:dyDescent="0.35">
      <c r="A12" s="16" t="s">
        <v>26</v>
      </c>
      <c r="B12" s="13" t="s">
        <v>27</v>
      </c>
      <c r="C12" s="12" t="s">
        <v>23</v>
      </c>
      <c r="D12" s="12">
        <v>190</v>
      </c>
      <c r="E12" s="12">
        <v>0.2</v>
      </c>
      <c r="F12" s="12">
        <v>500</v>
      </c>
      <c r="G12" s="12">
        <v>10</v>
      </c>
      <c r="H12" s="12">
        <v>0.95</v>
      </c>
      <c r="I12" s="12">
        <v>11000</v>
      </c>
      <c r="J12" s="6">
        <v>36.700000000000003</v>
      </c>
      <c r="K12" s="3">
        <v>6.5</v>
      </c>
      <c r="L12" s="3">
        <v>390</v>
      </c>
      <c r="M12" s="3">
        <v>0</v>
      </c>
      <c r="N12" s="22">
        <v>500</v>
      </c>
      <c r="O12" s="27">
        <v>365</v>
      </c>
      <c r="P12" s="6">
        <f t="shared" si="0"/>
        <v>38</v>
      </c>
      <c r="Q12" s="19">
        <f t="shared" si="1"/>
        <v>1.6448536269514715</v>
      </c>
      <c r="R12" s="3">
        <f t="shared" si="2"/>
        <v>34</v>
      </c>
      <c r="S12" s="20">
        <f t="shared" si="3"/>
        <v>538</v>
      </c>
      <c r="T12" s="20">
        <f t="shared" si="4"/>
        <v>401</v>
      </c>
      <c r="U12" s="20">
        <f t="shared" si="5"/>
        <v>390</v>
      </c>
      <c r="V12" s="21" t="str">
        <f t="shared" si="6"/>
        <v>REORDER 538 UNITS</v>
      </c>
    </row>
    <row r="13" spans="1:25" ht="15" thickBot="1" x14ac:dyDescent="0.35">
      <c r="A13" s="16" t="s">
        <v>28</v>
      </c>
      <c r="B13" s="13" t="s">
        <v>29</v>
      </c>
      <c r="C13" s="12" t="s">
        <v>30</v>
      </c>
      <c r="D13" s="12">
        <v>185</v>
      </c>
      <c r="E13" s="12">
        <v>0.15</v>
      </c>
      <c r="F13" s="12">
        <v>350</v>
      </c>
      <c r="G13" s="12">
        <v>8</v>
      </c>
      <c r="H13" s="12">
        <v>0.95</v>
      </c>
      <c r="I13" s="12">
        <v>14000</v>
      </c>
      <c r="J13" s="6">
        <v>46.7</v>
      </c>
      <c r="K13" s="3">
        <v>9.1</v>
      </c>
      <c r="L13" s="3">
        <v>450</v>
      </c>
      <c r="M13" s="3">
        <v>500</v>
      </c>
      <c r="N13" s="22">
        <v>400</v>
      </c>
      <c r="O13" s="27">
        <v>270</v>
      </c>
      <c r="P13" s="6">
        <f t="shared" si="0"/>
        <v>27.75</v>
      </c>
      <c r="Q13" s="19">
        <f t="shared" si="1"/>
        <v>1.6448536269514715</v>
      </c>
      <c r="R13" s="3">
        <f t="shared" si="2"/>
        <v>43</v>
      </c>
      <c r="S13" s="20">
        <f t="shared" si="3"/>
        <v>594</v>
      </c>
      <c r="T13" s="20">
        <f t="shared" si="4"/>
        <v>417</v>
      </c>
      <c r="U13" s="20">
        <f t="shared" si="5"/>
        <v>950</v>
      </c>
      <c r="V13" s="21" t="str">
        <f t="shared" si="6"/>
        <v>OK - STOCK SUFFICIENT</v>
      </c>
    </row>
    <row r="14" spans="1:25" ht="15" thickBot="1" x14ac:dyDescent="0.35">
      <c r="A14" s="16" t="s">
        <v>31</v>
      </c>
      <c r="B14" s="13" t="s">
        <v>32</v>
      </c>
      <c r="C14" s="12" t="s">
        <v>30</v>
      </c>
      <c r="D14" s="12">
        <v>18</v>
      </c>
      <c r="E14" s="12">
        <v>0.15</v>
      </c>
      <c r="F14" s="12">
        <v>250</v>
      </c>
      <c r="G14" s="12">
        <v>5</v>
      </c>
      <c r="H14" s="12">
        <v>0.9</v>
      </c>
      <c r="I14" s="12">
        <v>45000</v>
      </c>
      <c r="J14" s="6">
        <v>150</v>
      </c>
      <c r="K14" s="3">
        <v>28.4</v>
      </c>
      <c r="L14" s="3">
        <v>1200</v>
      </c>
      <c r="M14" s="3">
        <v>0</v>
      </c>
      <c r="N14" s="22">
        <v>2000</v>
      </c>
      <c r="O14" s="27">
        <v>270</v>
      </c>
      <c r="P14" s="6">
        <f t="shared" si="0"/>
        <v>2.6999999999999997</v>
      </c>
      <c r="Q14" s="19">
        <f t="shared" si="1"/>
        <v>1.2815515655446006</v>
      </c>
      <c r="R14" s="3">
        <f t="shared" si="2"/>
        <v>82</v>
      </c>
      <c r="S14" s="20">
        <f t="shared" si="3"/>
        <v>2887</v>
      </c>
      <c r="T14" s="20">
        <f t="shared" si="4"/>
        <v>832</v>
      </c>
      <c r="U14" s="20">
        <f t="shared" si="5"/>
        <v>1200</v>
      </c>
      <c r="V14" s="21" t="str">
        <f t="shared" si="6"/>
        <v>OK - STOCK SUFFICIENT</v>
      </c>
    </row>
    <row r="15" spans="1:25" ht="15" thickBot="1" x14ac:dyDescent="0.35">
      <c r="A15" s="16" t="s">
        <v>33</v>
      </c>
      <c r="B15" s="13" t="s">
        <v>34</v>
      </c>
      <c r="C15" s="12" t="s">
        <v>30</v>
      </c>
      <c r="D15" s="12">
        <v>290</v>
      </c>
      <c r="E15" s="12">
        <v>0.18</v>
      </c>
      <c r="F15" s="12">
        <v>380</v>
      </c>
      <c r="G15" s="12">
        <v>9</v>
      </c>
      <c r="H15" s="12">
        <v>0.9</v>
      </c>
      <c r="I15" s="12">
        <v>4800</v>
      </c>
      <c r="J15" s="6">
        <v>16</v>
      </c>
      <c r="K15" s="3">
        <v>3.8</v>
      </c>
      <c r="L15" s="3">
        <v>190</v>
      </c>
      <c r="M15" s="3">
        <v>0</v>
      </c>
      <c r="N15" s="22">
        <v>250</v>
      </c>
      <c r="O15" s="27">
        <v>365</v>
      </c>
      <c r="P15" s="6">
        <f t="shared" si="0"/>
        <v>52.199999999999996</v>
      </c>
      <c r="Q15" s="19">
        <f t="shared" si="1"/>
        <v>1.2815515655446006</v>
      </c>
      <c r="R15" s="3">
        <f t="shared" si="2"/>
        <v>15</v>
      </c>
      <c r="S15" s="20">
        <f t="shared" si="3"/>
        <v>264</v>
      </c>
      <c r="T15" s="20">
        <f t="shared" si="4"/>
        <v>159</v>
      </c>
      <c r="U15" s="20">
        <f t="shared" si="5"/>
        <v>190</v>
      </c>
      <c r="V15" s="21" t="str">
        <f t="shared" si="6"/>
        <v>OK - STOCK SUFFICIENT</v>
      </c>
    </row>
    <row r="16" spans="1:25" ht="15" thickBot="1" x14ac:dyDescent="0.35">
      <c r="A16" s="16" t="s">
        <v>35</v>
      </c>
      <c r="B16" s="13" t="s">
        <v>36</v>
      </c>
      <c r="C16" s="12" t="s">
        <v>37</v>
      </c>
      <c r="D16" s="12">
        <v>210</v>
      </c>
      <c r="E16" s="12">
        <v>0.22</v>
      </c>
      <c r="F16" s="12">
        <v>350</v>
      </c>
      <c r="G16" s="12">
        <v>5</v>
      </c>
      <c r="H16" s="12">
        <v>0.95</v>
      </c>
      <c r="I16" s="12">
        <v>9500</v>
      </c>
      <c r="J16" s="6">
        <v>31.7</v>
      </c>
      <c r="K16" s="3">
        <v>5.9</v>
      </c>
      <c r="L16" s="3">
        <v>220</v>
      </c>
      <c r="M16" s="3">
        <v>0</v>
      </c>
      <c r="N16" s="22">
        <v>300</v>
      </c>
      <c r="O16" s="27">
        <v>730</v>
      </c>
      <c r="P16" s="6">
        <f t="shared" si="0"/>
        <v>46.2</v>
      </c>
      <c r="Q16" s="19">
        <f t="shared" si="1"/>
        <v>1.6448536269514715</v>
      </c>
      <c r="R16" s="3">
        <f t="shared" si="2"/>
        <v>22</v>
      </c>
      <c r="S16" s="20">
        <f t="shared" si="3"/>
        <v>379</v>
      </c>
      <c r="T16" s="20">
        <f t="shared" si="4"/>
        <v>181</v>
      </c>
      <c r="U16" s="20">
        <f t="shared" si="5"/>
        <v>220</v>
      </c>
      <c r="V16" s="21" t="str">
        <f t="shared" si="6"/>
        <v>OK - STOCK SUFFICIENT</v>
      </c>
    </row>
    <row r="17" spans="1:29" ht="15" thickBot="1" x14ac:dyDescent="0.35">
      <c r="A17" s="16" t="s">
        <v>38</v>
      </c>
      <c r="B17" s="13" t="s">
        <v>39</v>
      </c>
      <c r="C17" s="12" t="s">
        <v>37</v>
      </c>
      <c r="D17" s="12">
        <v>125</v>
      </c>
      <c r="E17" s="12">
        <v>0.22</v>
      </c>
      <c r="F17" s="12">
        <v>300</v>
      </c>
      <c r="G17" s="12">
        <v>5</v>
      </c>
      <c r="H17" s="12">
        <v>0.95</v>
      </c>
      <c r="I17" s="12">
        <v>16000</v>
      </c>
      <c r="J17" s="6">
        <v>53.3</v>
      </c>
      <c r="K17" s="3">
        <v>9.8000000000000007</v>
      </c>
      <c r="L17" s="3">
        <v>410</v>
      </c>
      <c r="M17" s="3">
        <v>500</v>
      </c>
      <c r="N17" s="22">
        <v>500</v>
      </c>
      <c r="O17" s="27">
        <v>730</v>
      </c>
      <c r="P17" s="6">
        <f t="shared" si="0"/>
        <v>27.5</v>
      </c>
      <c r="Q17" s="19">
        <f t="shared" si="1"/>
        <v>1.6448536269514715</v>
      </c>
      <c r="R17" s="3">
        <f t="shared" si="2"/>
        <v>37</v>
      </c>
      <c r="S17" s="20">
        <f t="shared" si="3"/>
        <v>591</v>
      </c>
      <c r="T17" s="20">
        <f t="shared" si="4"/>
        <v>304</v>
      </c>
      <c r="U17" s="20">
        <f t="shared" si="5"/>
        <v>910</v>
      </c>
      <c r="V17" s="21" t="str">
        <f t="shared" si="6"/>
        <v>OK - STOCK SUFFICIENT</v>
      </c>
    </row>
    <row r="18" spans="1:29" ht="15" thickBot="1" x14ac:dyDescent="0.35">
      <c r="A18" s="16" t="s">
        <v>40</v>
      </c>
      <c r="B18" s="13" t="s">
        <v>41</v>
      </c>
      <c r="C18" s="12" t="s">
        <v>16</v>
      </c>
      <c r="D18" s="12">
        <v>60</v>
      </c>
      <c r="E18" s="12">
        <v>0.15</v>
      </c>
      <c r="F18" s="12">
        <v>400</v>
      </c>
      <c r="G18" s="12">
        <v>8</v>
      </c>
      <c r="H18" s="12">
        <v>0.9</v>
      </c>
      <c r="I18" s="12">
        <v>32000</v>
      </c>
      <c r="J18" s="6">
        <v>106.7</v>
      </c>
      <c r="K18" s="3">
        <v>18.3</v>
      </c>
      <c r="L18" s="3">
        <v>980</v>
      </c>
      <c r="M18" s="3">
        <v>0</v>
      </c>
      <c r="N18" s="22">
        <v>1200</v>
      </c>
      <c r="O18" s="27">
        <v>730</v>
      </c>
      <c r="P18" s="6">
        <f t="shared" si="0"/>
        <v>9</v>
      </c>
      <c r="Q18" s="19">
        <f t="shared" si="1"/>
        <v>1.2815515655446006</v>
      </c>
      <c r="R18" s="3">
        <f t="shared" si="2"/>
        <v>67</v>
      </c>
      <c r="S18" s="20">
        <f t="shared" si="3"/>
        <v>1687</v>
      </c>
      <c r="T18" s="20">
        <f t="shared" si="4"/>
        <v>921</v>
      </c>
      <c r="U18" s="20">
        <f t="shared" si="5"/>
        <v>980</v>
      </c>
      <c r="V18" s="21" t="str">
        <f t="shared" si="6"/>
        <v>OK - STOCK SUFFICIENT</v>
      </c>
    </row>
    <row r="19" spans="1:29" ht="15" thickBot="1" x14ac:dyDescent="0.35">
      <c r="A19" s="16" t="s">
        <v>42</v>
      </c>
      <c r="B19" s="13" t="s">
        <v>43</v>
      </c>
      <c r="C19" s="12" t="s">
        <v>16</v>
      </c>
      <c r="D19" s="12">
        <v>110</v>
      </c>
      <c r="E19" s="12">
        <v>0.15</v>
      </c>
      <c r="F19" s="12">
        <v>400</v>
      </c>
      <c r="G19" s="12">
        <v>7</v>
      </c>
      <c r="H19" s="12">
        <v>0.9</v>
      </c>
      <c r="I19" s="12">
        <v>18000</v>
      </c>
      <c r="J19" s="6">
        <v>60</v>
      </c>
      <c r="K19" s="3">
        <v>10.4</v>
      </c>
      <c r="L19" s="3">
        <v>520</v>
      </c>
      <c r="M19" s="3">
        <v>0</v>
      </c>
      <c r="N19" s="22">
        <v>800</v>
      </c>
      <c r="O19" s="27">
        <v>730</v>
      </c>
      <c r="P19" s="6">
        <f t="shared" si="0"/>
        <v>16.5</v>
      </c>
      <c r="Q19" s="19">
        <f t="shared" si="1"/>
        <v>1.2815515655446006</v>
      </c>
      <c r="R19" s="3">
        <f t="shared" si="2"/>
        <v>36</v>
      </c>
      <c r="S19" s="20">
        <f t="shared" si="3"/>
        <v>934</v>
      </c>
      <c r="T19" s="20">
        <f t="shared" si="4"/>
        <v>456</v>
      </c>
      <c r="U19" s="20">
        <f t="shared" si="5"/>
        <v>520</v>
      </c>
      <c r="V19" s="21" t="str">
        <f t="shared" si="6"/>
        <v>OK - STOCK SUFFICIENT</v>
      </c>
    </row>
    <row r="20" spans="1:29" ht="15" thickBot="1" x14ac:dyDescent="0.35">
      <c r="A20" s="16" t="s">
        <v>44</v>
      </c>
      <c r="B20" s="13" t="s">
        <v>45</v>
      </c>
      <c r="C20" s="12" t="s">
        <v>37</v>
      </c>
      <c r="D20" s="12">
        <v>85</v>
      </c>
      <c r="E20" s="12">
        <v>0.15</v>
      </c>
      <c r="F20" s="12">
        <v>300</v>
      </c>
      <c r="G20" s="12">
        <v>6</v>
      </c>
      <c r="H20" s="12">
        <v>0.95</v>
      </c>
      <c r="I20" s="12">
        <v>8000</v>
      </c>
      <c r="J20" s="6">
        <v>26.7</v>
      </c>
      <c r="K20" s="3">
        <v>4.8</v>
      </c>
      <c r="L20" s="3">
        <v>290</v>
      </c>
      <c r="M20" s="3">
        <v>0</v>
      </c>
      <c r="N20" s="22">
        <v>300</v>
      </c>
      <c r="O20" s="27">
        <v>730</v>
      </c>
      <c r="P20" s="6">
        <f t="shared" si="0"/>
        <v>12.75</v>
      </c>
      <c r="Q20" s="19">
        <f t="shared" si="1"/>
        <v>1.6448536269514715</v>
      </c>
      <c r="R20" s="3">
        <f t="shared" si="2"/>
        <v>20</v>
      </c>
      <c r="S20" s="20">
        <f t="shared" si="3"/>
        <v>614</v>
      </c>
      <c r="T20" s="20">
        <f t="shared" si="4"/>
        <v>181</v>
      </c>
      <c r="U20" s="20">
        <f t="shared" si="5"/>
        <v>290</v>
      </c>
      <c r="V20" s="21" t="str">
        <f t="shared" si="6"/>
        <v>OK - STOCK SUFFICIENT</v>
      </c>
    </row>
    <row r="21" spans="1:29" ht="15" thickBot="1" x14ac:dyDescent="0.35">
      <c r="A21" s="16" t="s">
        <v>46</v>
      </c>
      <c r="B21" s="13" t="s">
        <v>47</v>
      </c>
      <c r="C21" s="12" t="s">
        <v>48</v>
      </c>
      <c r="D21" s="12">
        <v>55</v>
      </c>
      <c r="E21" s="12">
        <v>0.15</v>
      </c>
      <c r="F21" s="12">
        <v>280</v>
      </c>
      <c r="G21" s="12">
        <v>7</v>
      </c>
      <c r="H21" s="12">
        <v>0.9</v>
      </c>
      <c r="I21" s="12">
        <v>6000</v>
      </c>
      <c r="J21" s="6">
        <v>20</v>
      </c>
      <c r="K21" s="3">
        <v>4.0999999999999996</v>
      </c>
      <c r="L21" s="3">
        <v>160</v>
      </c>
      <c r="M21" s="3">
        <v>0</v>
      </c>
      <c r="N21" s="22">
        <v>300</v>
      </c>
      <c r="O21" s="27">
        <v>730</v>
      </c>
      <c r="P21" s="6">
        <f t="shared" si="0"/>
        <v>8.25</v>
      </c>
      <c r="Q21" s="19">
        <f t="shared" si="1"/>
        <v>1.2815515655446006</v>
      </c>
      <c r="R21" s="3">
        <f t="shared" si="2"/>
        <v>14</v>
      </c>
      <c r="S21" s="20">
        <f t="shared" si="3"/>
        <v>638</v>
      </c>
      <c r="T21" s="20">
        <f t="shared" si="4"/>
        <v>154</v>
      </c>
      <c r="U21" s="20">
        <f t="shared" si="5"/>
        <v>160</v>
      </c>
      <c r="V21" s="21" t="str">
        <f t="shared" si="6"/>
        <v>OK - STOCK SUFFICIENT</v>
      </c>
    </row>
    <row r="22" spans="1:29" ht="15" thickBot="1" x14ac:dyDescent="0.35">
      <c r="A22" s="16" t="s">
        <v>49</v>
      </c>
      <c r="B22" s="13" t="s">
        <v>50</v>
      </c>
      <c r="C22" s="12" t="s">
        <v>51</v>
      </c>
      <c r="D22" s="12">
        <v>95</v>
      </c>
      <c r="E22" s="12">
        <v>0.18</v>
      </c>
      <c r="F22" s="12">
        <v>320</v>
      </c>
      <c r="G22" s="12">
        <v>6</v>
      </c>
      <c r="H22" s="12">
        <v>0.95</v>
      </c>
      <c r="I22" s="12">
        <v>13500</v>
      </c>
      <c r="J22" s="6">
        <v>45</v>
      </c>
      <c r="K22" s="3">
        <v>7.9</v>
      </c>
      <c r="L22" s="3">
        <v>380</v>
      </c>
      <c r="M22" s="3">
        <v>0</v>
      </c>
      <c r="N22" s="22">
        <v>400</v>
      </c>
      <c r="O22" s="27">
        <v>730</v>
      </c>
      <c r="P22" s="6">
        <f t="shared" si="0"/>
        <v>17.099999999999998</v>
      </c>
      <c r="Q22" s="19">
        <f t="shared" si="1"/>
        <v>1.6448536269514715</v>
      </c>
      <c r="R22" s="3">
        <f t="shared" si="2"/>
        <v>32</v>
      </c>
      <c r="S22" s="20">
        <f t="shared" si="3"/>
        <v>711</v>
      </c>
      <c r="T22" s="20">
        <f t="shared" si="4"/>
        <v>302</v>
      </c>
      <c r="U22" s="20">
        <f t="shared" si="5"/>
        <v>380</v>
      </c>
      <c r="V22" s="21" t="str">
        <f t="shared" si="6"/>
        <v>OK - STOCK SUFFICIENT</v>
      </c>
    </row>
    <row r="23" spans="1:29" ht="15" thickBot="1" x14ac:dyDescent="0.35">
      <c r="A23" s="16" t="s">
        <v>52</v>
      </c>
      <c r="B23" s="13" t="s">
        <v>53</v>
      </c>
      <c r="C23" s="12" t="s">
        <v>51</v>
      </c>
      <c r="D23" s="12">
        <v>195</v>
      </c>
      <c r="E23" s="12">
        <v>0.2</v>
      </c>
      <c r="F23" s="12">
        <v>350</v>
      </c>
      <c r="G23" s="12">
        <v>8</v>
      </c>
      <c r="H23" s="12">
        <v>0.95</v>
      </c>
      <c r="I23" s="12">
        <v>11000</v>
      </c>
      <c r="J23" s="6">
        <v>36.700000000000003</v>
      </c>
      <c r="K23" s="3">
        <v>6.8</v>
      </c>
      <c r="L23" s="3">
        <v>260</v>
      </c>
      <c r="M23" s="3">
        <v>500</v>
      </c>
      <c r="N23" s="22">
        <v>300</v>
      </c>
      <c r="O23" s="27">
        <v>1095</v>
      </c>
      <c r="P23" s="6">
        <f t="shared" si="0"/>
        <v>39</v>
      </c>
      <c r="Q23" s="19">
        <f t="shared" si="1"/>
        <v>1.6448536269514715</v>
      </c>
      <c r="R23" s="3">
        <f t="shared" si="2"/>
        <v>32</v>
      </c>
      <c r="S23" s="20">
        <f t="shared" si="3"/>
        <v>444</v>
      </c>
      <c r="T23" s="20">
        <f t="shared" si="4"/>
        <v>326</v>
      </c>
      <c r="U23" s="20">
        <f t="shared" si="5"/>
        <v>760</v>
      </c>
      <c r="V23" s="21" t="str">
        <f t="shared" si="6"/>
        <v>OK - STOCK SUFFICIENT</v>
      </c>
    </row>
    <row r="24" spans="1:29" ht="15" thickBot="1" x14ac:dyDescent="0.35">
      <c r="A24" s="16" t="s">
        <v>54</v>
      </c>
      <c r="B24" s="13" t="s">
        <v>55</v>
      </c>
      <c r="C24" s="12" t="s">
        <v>16</v>
      </c>
      <c r="D24" s="12">
        <v>160</v>
      </c>
      <c r="E24" s="12">
        <v>0.18</v>
      </c>
      <c r="F24" s="12">
        <v>420</v>
      </c>
      <c r="G24" s="12">
        <v>7</v>
      </c>
      <c r="H24" s="12">
        <v>0.95</v>
      </c>
      <c r="I24" s="12">
        <v>14200</v>
      </c>
      <c r="J24" s="6">
        <v>47.3</v>
      </c>
      <c r="K24" s="3">
        <v>8.1999999999999993</v>
      </c>
      <c r="L24" s="3">
        <v>400</v>
      </c>
      <c r="M24" s="3">
        <v>0</v>
      </c>
      <c r="N24" s="22">
        <v>500</v>
      </c>
      <c r="O24" s="27">
        <v>730</v>
      </c>
      <c r="P24" s="6">
        <f t="shared" si="0"/>
        <v>28.799999999999997</v>
      </c>
      <c r="Q24" s="19">
        <f t="shared" si="1"/>
        <v>1.6448536269514715</v>
      </c>
      <c r="R24" s="3">
        <f t="shared" si="2"/>
        <v>36</v>
      </c>
      <c r="S24" s="20">
        <f t="shared" si="3"/>
        <v>644</v>
      </c>
      <c r="T24" s="20">
        <f t="shared" si="4"/>
        <v>368</v>
      </c>
      <c r="U24" s="20">
        <f t="shared" si="5"/>
        <v>400</v>
      </c>
      <c r="V24" s="21" t="str">
        <f t="shared" si="6"/>
        <v>OK - STOCK SUFFICIENT</v>
      </c>
      <c r="Y24" s="43" t="s">
        <v>142</v>
      </c>
      <c r="Z24" s="43"/>
      <c r="AA24" s="36"/>
      <c r="AB24" s="36"/>
      <c r="AC24" s="36"/>
    </row>
    <row r="25" spans="1:29" ht="15" thickBot="1" x14ac:dyDescent="0.35">
      <c r="A25" s="16" t="s">
        <v>56</v>
      </c>
      <c r="B25" s="13" t="s">
        <v>57</v>
      </c>
      <c r="C25" s="12" t="s">
        <v>23</v>
      </c>
      <c r="D25" s="12">
        <v>150</v>
      </c>
      <c r="E25" s="12">
        <v>0.2</v>
      </c>
      <c r="F25" s="12">
        <v>500</v>
      </c>
      <c r="G25" s="12">
        <v>10</v>
      </c>
      <c r="H25" s="12">
        <v>0.95</v>
      </c>
      <c r="I25" s="12">
        <v>19000</v>
      </c>
      <c r="J25" s="6">
        <v>63.3</v>
      </c>
      <c r="K25" s="3">
        <v>11.2</v>
      </c>
      <c r="L25" s="3">
        <v>550</v>
      </c>
      <c r="M25" s="3">
        <v>0</v>
      </c>
      <c r="N25" s="22">
        <v>800</v>
      </c>
      <c r="O25" s="27">
        <v>365</v>
      </c>
      <c r="P25" s="6">
        <f t="shared" si="0"/>
        <v>30</v>
      </c>
      <c r="Q25" s="19">
        <f t="shared" si="1"/>
        <v>1.6448536269514715</v>
      </c>
      <c r="R25" s="3">
        <f t="shared" si="2"/>
        <v>59</v>
      </c>
      <c r="S25" s="20">
        <f t="shared" si="3"/>
        <v>796</v>
      </c>
      <c r="T25" s="20">
        <f t="shared" si="4"/>
        <v>692</v>
      </c>
      <c r="U25" s="20">
        <f t="shared" si="5"/>
        <v>550</v>
      </c>
      <c r="V25" s="21" t="str">
        <f t="shared" si="6"/>
        <v>REORDER 800 UNITS</v>
      </c>
    </row>
    <row r="26" spans="1:29" ht="15" thickBot="1" x14ac:dyDescent="0.35">
      <c r="A26" s="16" t="s">
        <v>58</v>
      </c>
      <c r="B26" s="13" t="s">
        <v>59</v>
      </c>
      <c r="C26" s="12" t="s">
        <v>30</v>
      </c>
      <c r="D26" s="12">
        <v>170</v>
      </c>
      <c r="E26" s="12">
        <v>0.15</v>
      </c>
      <c r="F26" s="12">
        <v>350</v>
      </c>
      <c r="G26" s="12">
        <v>7</v>
      </c>
      <c r="H26" s="12">
        <v>0.95</v>
      </c>
      <c r="I26" s="12">
        <v>16500</v>
      </c>
      <c r="J26" s="6">
        <v>55</v>
      </c>
      <c r="K26" s="3">
        <v>9.6</v>
      </c>
      <c r="L26" s="3">
        <v>480</v>
      </c>
      <c r="M26" s="3">
        <v>0</v>
      </c>
      <c r="N26" s="22">
        <v>500</v>
      </c>
      <c r="O26" s="27">
        <v>270</v>
      </c>
      <c r="P26" s="6">
        <f t="shared" si="0"/>
        <v>25.5</v>
      </c>
      <c r="Q26" s="19">
        <f t="shared" si="1"/>
        <v>1.6448536269514715</v>
      </c>
      <c r="R26" s="3">
        <f t="shared" si="2"/>
        <v>42</v>
      </c>
      <c r="S26" s="20">
        <f t="shared" si="3"/>
        <v>673</v>
      </c>
      <c r="T26" s="20">
        <f t="shared" si="4"/>
        <v>427</v>
      </c>
      <c r="U26" s="20">
        <f t="shared" si="5"/>
        <v>480</v>
      </c>
      <c r="V26" s="21" t="str">
        <f t="shared" si="6"/>
        <v>OK - STOCK SUFFICIENT</v>
      </c>
    </row>
    <row r="27" spans="1:29" ht="28.2" thickBot="1" x14ac:dyDescent="0.35">
      <c r="A27" s="16" t="s">
        <v>60</v>
      </c>
      <c r="B27" s="13" t="s">
        <v>61</v>
      </c>
      <c r="C27" s="12" t="s">
        <v>62</v>
      </c>
      <c r="D27" s="12">
        <v>275</v>
      </c>
      <c r="E27" s="12">
        <v>0.2</v>
      </c>
      <c r="F27" s="12">
        <v>380</v>
      </c>
      <c r="G27" s="12">
        <v>9</v>
      </c>
      <c r="H27" s="12">
        <v>0.95</v>
      </c>
      <c r="I27" s="12">
        <v>7200</v>
      </c>
      <c r="J27" s="6">
        <v>24</v>
      </c>
      <c r="K27" s="3">
        <v>5.0999999999999996</v>
      </c>
      <c r="L27" s="3">
        <v>210</v>
      </c>
      <c r="M27" s="3">
        <v>0</v>
      </c>
      <c r="N27" s="22">
        <v>250</v>
      </c>
      <c r="O27" s="27">
        <v>730</v>
      </c>
      <c r="P27" s="6">
        <f t="shared" si="0"/>
        <v>55</v>
      </c>
      <c r="Q27" s="19">
        <f t="shared" si="1"/>
        <v>1.6448536269514715</v>
      </c>
      <c r="R27" s="3">
        <f t="shared" si="2"/>
        <v>26</v>
      </c>
      <c r="S27" s="20">
        <f t="shared" si="3"/>
        <v>315</v>
      </c>
      <c r="T27" s="20">
        <f t="shared" si="4"/>
        <v>242</v>
      </c>
      <c r="U27" s="20">
        <f t="shared" si="5"/>
        <v>210</v>
      </c>
      <c r="V27" s="21" t="str">
        <f t="shared" si="6"/>
        <v>REORDER 315 UNITS</v>
      </c>
    </row>
    <row r="28" spans="1:29" ht="28.2" thickBot="1" x14ac:dyDescent="0.35">
      <c r="A28" s="16" t="s">
        <v>63</v>
      </c>
      <c r="B28" s="13" t="s">
        <v>64</v>
      </c>
      <c r="C28" s="12" t="s">
        <v>62</v>
      </c>
      <c r="D28" s="12">
        <v>160</v>
      </c>
      <c r="E28" s="12">
        <v>0.2</v>
      </c>
      <c r="F28" s="12">
        <v>350</v>
      </c>
      <c r="G28" s="12">
        <v>8</v>
      </c>
      <c r="H28" s="12">
        <v>0.9</v>
      </c>
      <c r="I28" s="12">
        <v>9800</v>
      </c>
      <c r="J28" s="6">
        <v>32.700000000000003</v>
      </c>
      <c r="K28" s="3">
        <v>6.2</v>
      </c>
      <c r="L28" s="3">
        <v>300</v>
      </c>
      <c r="M28" s="3">
        <v>0</v>
      </c>
      <c r="N28" s="22">
        <v>300</v>
      </c>
      <c r="O28" s="27">
        <v>730</v>
      </c>
      <c r="P28" s="6">
        <f t="shared" si="0"/>
        <v>32</v>
      </c>
      <c r="Q28" s="19">
        <f t="shared" si="1"/>
        <v>1.2815515655446006</v>
      </c>
      <c r="R28" s="3">
        <f t="shared" si="2"/>
        <v>23</v>
      </c>
      <c r="S28" s="20">
        <f t="shared" si="3"/>
        <v>463</v>
      </c>
      <c r="T28" s="20">
        <f t="shared" si="4"/>
        <v>285</v>
      </c>
      <c r="U28" s="20">
        <f t="shared" si="5"/>
        <v>300</v>
      </c>
      <c r="V28" s="21" t="str">
        <f t="shared" si="6"/>
        <v>OK - STOCK SUFFICIENT</v>
      </c>
    </row>
    <row r="29" spans="1:29" ht="15" thickBot="1" x14ac:dyDescent="0.35">
      <c r="A29" s="16" t="s">
        <v>65</v>
      </c>
      <c r="B29" s="13" t="s">
        <v>66</v>
      </c>
      <c r="C29" s="12" t="s">
        <v>30</v>
      </c>
      <c r="D29" s="12">
        <v>240</v>
      </c>
      <c r="E29" s="12">
        <v>0.18</v>
      </c>
      <c r="F29" s="12">
        <v>360</v>
      </c>
      <c r="G29" s="12">
        <v>8</v>
      </c>
      <c r="H29" s="12">
        <v>0.95</v>
      </c>
      <c r="I29" s="12">
        <v>10500</v>
      </c>
      <c r="J29" s="6">
        <v>35</v>
      </c>
      <c r="K29" s="3">
        <v>6.1</v>
      </c>
      <c r="L29" s="3">
        <v>310</v>
      </c>
      <c r="M29" s="3">
        <v>400</v>
      </c>
      <c r="N29" s="22">
        <v>300</v>
      </c>
      <c r="O29" s="27">
        <v>547</v>
      </c>
      <c r="P29" s="6">
        <f t="shared" si="0"/>
        <v>43.199999999999996</v>
      </c>
      <c r="Q29" s="19">
        <f t="shared" si="1"/>
        <v>1.6448536269514715</v>
      </c>
      <c r="R29" s="3">
        <f t="shared" si="2"/>
        <v>29</v>
      </c>
      <c r="S29" s="20">
        <f t="shared" si="3"/>
        <v>418</v>
      </c>
      <c r="T29" s="20">
        <f t="shared" si="4"/>
        <v>309</v>
      </c>
      <c r="U29" s="20">
        <f t="shared" si="5"/>
        <v>710</v>
      </c>
      <c r="V29" s="21" t="str">
        <f t="shared" si="6"/>
        <v>OK - STOCK SUFFICIENT</v>
      </c>
    </row>
    <row r="30" spans="1:29" ht="15" thickBot="1" x14ac:dyDescent="0.35">
      <c r="A30" s="16" t="s">
        <v>67</v>
      </c>
      <c r="B30" s="13" t="s">
        <v>68</v>
      </c>
      <c r="C30" s="12" t="s">
        <v>30</v>
      </c>
      <c r="D30" s="12">
        <v>130</v>
      </c>
      <c r="E30" s="12">
        <v>0.18</v>
      </c>
      <c r="F30" s="12">
        <v>320</v>
      </c>
      <c r="G30" s="12">
        <v>7</v>
      </c>
      <c r="H30" s="12">
        <v>0.9</v>
      </c>
      <c r="I30" s="12">
        <v>14000</v>
      </c>
      <c r="J30" s="6">
        <v>46.7</v>
      </c>
      <c r="K30" s="3">
        <v>8.4</v>
      </c>
      <c r="L30" s="3">
        <v>420</v>
      </c>
      <c r="M30" s="3">
        <v>0</v>
      </c>
      <c r="N30" s="22">
        <v>500</v>
      </c>
      <c r="O30" s="27">
        <v>547</v>
      </c>
      <c r="P30" s="6">
        <f t="shared" si="0"/>
        <v>23.4</v>
      </c>
      <c r="Q30" s="19">
        <f t="shared" si="1"/>
        <v>1.2815515655446006</v>
      </c>
      <c r="R30" s="3">
        <f t="shared" si="2"/>
        <v>29</v>
      </c>
      <c r="S30" s="20">
        <f t="shared" si="3"/>
        <v>619</v>
      </c>
      <c r="T30" s="20">
        <f t="shared" si="4"/>
        <v>356</v>
      </c>
      <c r="U30" s="20">
        <f t="shared" si="5"/>
        <v>420</v>
      </c>
      <c r="V30" s="21" t="str">
        <f t="shared" si="6"/>
        <v>OK - STOCK SUFFICIENT</v>
      </c>
    </row>
    <row r="31" spans="1:29" ht="28.2" thickBot="1" x14ac:dyDescent="0.35">
      <c r="A31" s="16" t="s">
        <v>69</v>
      </c>
      <c r="B31" s="13" t="s">
        <v>70</v>
      </c>
      <c r="C31" s="12" t="s">
        <v>71</v>
      </c>
      <c r="D31" s="12">
        <v>350</v>
      </c>
      <c r="E31" s="12">
        <v>0.22</v>
      </c>
      <c r="F31" s="12">
        <v>400</v>
      </c>
      <c r="G31" s="12">
        <v>10</v>
      </c>
      <c r="H31" s="12">
        <v>0.9</v>
      </c>
      <c r="I31" s="12">
        <v>3200</v>
      </c>
      <c r="J31" s="6">
        <v>10.7</v>
      </c>
      <c r="K31" s="3">
        <v>2.9</v>
      </c>
      <c r="L31" s="3">
        <v>110</v>
      </c>
      <c r="M31" s="3">
        <v>0</v>
      </c>
      <c r="N31" s="22">
        <v>150</v>
      </c>
      <c r="O31" s="27">
        <v>547</v>
      </c>
      <c r="P31" s="6">
        <f t="shared" si="0"/>
        <v>77</v>
      </c>
      <c r="Q31" s="19">
        <f t="shared" si="1"/>
        <v>1.2815515655446006</v>
      </c>
      <c r="R31" s="3">
        <f t="shared" si="2"/>
        <v>12</v>
      </c>
      <c r="S31" s="20">
        <f t="shared" si="3"/>
        <v>182</v>
      </c>
      <c r="T31" s="20">
        <f t="shared" si="4"/>
        <v>119</v>
      </c>
      <c r="U31" s="20">
        <f t="shared" si="5"/>
        <v>110</v>
      </c>
      <c r="V31" s="21" t="str">
        <f t="shared" si="6"/>
        <v>REORDER 182 UNITS</v>
      </c>
    </row>
    <row r="32" spans="1:29" ht="28.2" thickBot="1" x14ac:dyDescent="0.35">
      <c r="A32" s="16" t="s">
        <v>72</v>
      </c>
      <c r="B32" s="13" t="s">
        <v>73</v>
      </c>
      <c r="C32" s="12" t="s">
        <v>37</v>
      </c>
      <c r="D32" s="12">
        <v>450</v>
      </c>
      <c r="E32" s="12">
        <v>0.25</v>
      </c>
      <c r="F32" s="12">
        <v>450</v>
      </c>
      <c r="G32" s="12">
        <v>12</v>
      </c>
      <c r="H32" s="12">
        <v>0.9</v>
      </c>
      <c r="I32" s="12">
        <v>2100</v>
      </c>
      <c r="J32" s="6">
        <v>7</v>
      </c>
      <c r="K32" s="3">
        <v>2.1</v>
      </c>
      <c r="L32" s="3">
        <v>80</v>
      </c>
      <c r="M32" s="3">
        <v>0</v>
      </c>
      <c r="N32" s="22">
        <v>100</v>
      </c>
      <c r="O32" s="27">
        <v>730</v>
      </c>
      <c r="P32" s="6">
        <f t="shared" si="0"/>
        <v>112.5</v>
      </c>
      <c r="Q32" s="19">
        <f t="shared" si="1"/>
        <v>1.2815515655446006</v>
      </c>
      <c r="R32" s="3">
        <f t="shared" si="2"/>
        <v>10</v>
      </c>
      <c r="S32" s="20">
        <f t="shared" si="3"/>
        <v>130</v>
      </c>
      <c r="T32" s="20">
        <f t="shared" si="4"/>
        <v>94</v>
      </c>
      <c r="U32" s="20">
        <f t="shared" si="5"/>
        <v>80</v>
      </c>
      <c r="V32" s="21" t="str">
        <f t="shared" si="6"/>
        <v>REORDER 130 UNITS</v>
      </c>
    </row>
    <row r="33" spans="1:22" ht="15" thickBot="1" x14ac:dyDescent="0.35">
      <c r="A33" s="16" t="s">
        <v>74</v>
      </c>
      <c r="B33" s="13" t="s">
        <v>75</v>
      </c>
      <c r="C33" s="12" t="s">
        <v>76</v>
      </c>
      <c r="D33" s="12">
        <v>320</v>
      </c>
      <c r="E33" s="12">
        <v>0.22</v>
      </c>
      <c r="F33" s="12">
        <v>380</v>
      </c>
      <c r="G33" s="12">
        <v>8</v>
      </c>
      <c r="H33" s="12">
        <v>0.9</v>
      </c>
      <c r="I33" s="12">
        <v>5400</v>
      </c>
      <c r="J33" s="6">
        <v>18</v>
      </c>
      <c r="K33" s="3">
        <v>4.2</v>
      </c>
      <c r="L33" s="3">
        <v>140</v>
      </c>
      <c r="M33" s="3">
        <v>200</v>
      </c>
      <c r="N33" s="22">
        <v>200</v>
      </c>
      <c r="O33" s="27">
        <v>730</v>
      </c>
      <c r="P33" s="6">
        <f t="shared" si="0"/>
        <v>70.400000000000006</v>
      </c>
      <c r="Q33" s="19">
        <f t="shared" si="1"/>
        <v>1.2815515655446006</v>
      </c>
      <c r="R33" s="3">
        <f t="shared" si="2"/>
        <v>16</v>
      </c>
      <c r="S33" s="20">
        <f t="shared" si="3"/>
        <v>241</v>
      </c>
      <c r="T33" s="20">
        <f t="shared" si="4"/>
        <v>160</v>
      </c>
      <c r="U33" s="20">
        <f t="shared" si="5"/>
        <v>340</v>
      </c>
      <c r="V33" s="21" t="str">
        <f t="shared" si="6"/>
        <v>OK - STOCK SUFFICIENT</v>
      </c>
    </row>
    <row r="34" spans="1:22" ht="28.2" thickBot="1" x14ac:dyDescent="0.35">
      <c r="A34" s="16" t="s">
        <v>77</v>
      </c>
      <c r="B34" s="13" t="s">
        <v>78</v>
      </c>
      <c r="C34" s="12" t="s">
        <v>76</v>
      </c>
      <c r="D34" s="12">
        <v>210</v>
      </c>
      <c r="E34" s="12">
        <v>0.2</v>
      </c>
      <c r="F34" s="12">
        <v>350</v>
      </c>
      <c r="G34" s="12">
        <v>7</v>
      </c>
      <c r="H34" s="12">
        <v>0.9</v>
      </c>
      <c r="I34" s="12">
        <v>7800</v>
      </c>
      <c r="J34" s="6">
        <v>26</v>
      </c>
      <c r="K34" s="3">
        <v>5.3</v>
      </c>
      <c r="L34" s="3">
        <v>200</v>
      </c>
      <c r="M34" s="3">
        <v>0</v>
      </c>
      <c r="N34" s="22">
        <v>250</v>
      </c>
      <c r="O34" s="27">
        <v>730</v>
      </c>
      <c r="P34" s="6">
        <f t="shared" si="0"/>
        <v>42</v>
      </c>
      <c r="Q34" s="19">
        <f t="shared" si="1"/>
        <v>1.2815515655446006</v>
      </c>
      <c r="R34" s="3">
        <f t="shared" si="2"/>
        <v>18</v>
      </c>
      <c r="S34" s="20">
        <f t="shared" si="3"/>
        <v>361</v>
      </c>
      <c r="T34" s="20">
        <f t="shared" si="4"/>
        <v>200</v>
      </c>
      <c r="U34" s="20">
        <f t="shared" si="5"/>
        <v>200</v>
      </c>
      <c r="V34" s="21" t="str">
        <f t="shared" si="6"/>
        <v>REORDER 361 UNITS</v>
      </c>
    </row>
    <row r="35" spans="1:22" ht="28.2" thickBot="1" x14ac:dyDescent="0.35">
      <c r="A35" s="16" t="s">
        <v>79</v>
      </c>
      <c r="B35" s="13" t="s">
        <v>80</v>
      </c>
      <c r="C35" s="12" t="s">
        <v>62</v>
      </c>
      <c r="D35" s="12">
        <v>310</v>
      </c>
      <c r="E35" s="12">
        <v>0.22</v>
      </c>
      <c r="F35" s="12">
        <v>400</v>
      </c>
      <c r="G35" s="12">
        <v>9</v>
      </c>
      <c r="H35" s="12">
        <v>0.9</v>
      </c>
      <c r="I35" s="12">
        <v>4100</v>
      </c>
      <c r="J35" s="6">
        <v>13.7</v>
      </c>
      <c r="K35" s="3">
        <v>3.4</v>
      </c>
      <c r="L35" s="3">
        <v>120</v>
      </c>
      <c r="M35" s="3">
        <v>0</v>
      </c>
      <c r="N35" s="22">
        <v>150</v>
      </c>
      <c r="O35" s="27">
        <v>730</v>
      </c>
      <c r="P35" s="6">
        <f t="shared" si="0"/>
        <v>68.2</v>
      </c>
      <c r="Q35" s="19">
        <f t="shared" si="1"/>
        <v>1.2815515655446006</v>
      </c>
      <c r="R35" s="3">
        <f t="shared" si="2"/>
        <v>14</v>
      </c>
      <c r="S35" s="20">
        <f t="shared" si="3"/>
        <v>219</v>
      </c>
      <c r="T35" s="20">
        <f t="shared" si="4"/>
        <v>138</v>
      </c>
      <c r="U35" s="20">
        <f t="shared" si="5"/>
        <v>120</v>
      </c>
      <c r="V35" s="21" t="str">
        <f t="shared" si="6"/>
        <v>REORDER 219 UNITS</v>
      </c>
    </row>
    <row r="36" spans="1:22" ht="15" thickBot="1" x14ac:dyDescent="0.35">
      <c r="A36" s="16" t="s">
        <v>81</v>
      </c>
      <c r="B36" s="13" t="s">
        <v>82</v>
      </c>
      <c r="C36" s="12" t="s">
        <v>30</v>
      </c>
      <c r="D36" s="12">
        <v>45</v>
      </c>
      <c r="E36" s="12">
        <v>0.15</v>
      </c>
      <c r="F36" s="12">
        <v>300</v>
      </c>
      <c r="G36" s="12">
        <v>6</v>
      </c>
      <c r="H36" s="12">
        <v>0.95</v>
      </c>
      <c r="I36" s="12">
        <v>26000</v>
      </c>
      <c r="J36" s="6">
        <v>86.7</v>
      </c>
      <c r="K36" s="3">
        <v>15.6</v>
      </c>
      <c r="L36" s="3">
        <v>720</v>
      </c>
      <c r="M36" s="3">
        <v>0</v>
      </c>
      <c r="N36" s="22">
        <v>1000</v>
      </c>
      <c r="O36" s="27">
        <v>270</v>
      </c>
      <c r="P36" s="6">
        <f t="shared" si="0"/>
        <v>6.75</v>
      </c>
      <c r="Q36" s="19">
        <f t="shared" si="1"/>
        <v>1.6448536269514715</v>
      </c>
      <c r="R36" s="3">
        <f t="shared" si="2"/>
        <v>63</v>
      </c>
      <c r="S36" s="20">
        <f t="shared" si="3"/>
        <v>1520</v>
      </c>
      <c r="T36" s="20">
        <f t="shared" si="4"/>
        <v>584</v>
      </c>
      <c r="U36" s="20">
        <f t="shared" si="5"/>
        <v>720</v>
      </c>
      <c r="V36" s="21" t="str">
        <f t="shared" si="6"/>
        <v>OK - STOCK SUFFICIENT</v>
      </c>
    </row>
    <row r="37" spans="1:22" ht="28.2" thickBot="1" x14ac:dyDescent="0.35">
      <c r="A37" s="16" t="s">
        <v>83</v>
      </c>
      <c r="B37" s="13" t="s">
        <v>84</v>
      </c>
      <c r="C37" s="12" t="s">
        <v>16</v>
      </c>
      <c r="D37" s="12">
        <v>135</v>
      </c>
      <c r="E37" s="12">
        <v>0.18</v>
      </c>
      <c r="F37" s="12">
        <v>400</v>
      </c>
      <c r="G37" s="12">
        <v>6</v>
      </c>
      <c r="H37" s="12">
        <v>0.95</v>
      </c>
      <c r="I37" s="12">
        <v>11500</v>
      </c>
      <c r="J37" s="6">
        <v>38.299999999999997</v>
      </c>
      <c r="K37" s="3">
        <v>6.9</v>
      </c>
      <c r="L37" s="3">
        <v>340</v>
      </c>
      <c r="M37" s="3">
        <v>0</v>
      </c>
      <c r="N37" s="22">
        <v>400</v>
      </c>
      <c r="O37" s="27">
        <v>730</v>
      </c>
      <c r="P37" s="6">
        <f t="shared" si="0"/>
        <v>24.3</v>
      </c>
      <c r="Q37" s="19">
        <f t="shared" si="1"/>
        <v>1.6448536269514715</v>
      </c>
      <c r="R37" s="3">
        <f t="shared" si="2"/>
        <v>28</v>
      </c>
      <c r="S37" s="20">
        <f t="shared" si="3"/>
        <v>615</v>
      </c>
      <c r="T37" s="20">
        <f t="shared" si="4"/>
        <v>258</v>
      </c>
      <c r="U37" s="20">
        <f t="shared" si="5"/>
        <v>340</v>
      </c>
      <c r="V37" s="21" t="str">
        <f t="shared" si="6"/>
        <v>OK - STOCK SUFFICIENT</v>
      </c>
    </row>
    <row r="38" spans="1:22" ht="15" thickBot="1" x14ac:dyDescent="0.35">
      <c r="A38" s="16" t="s">
        <v>85</v>
      </c>
      <c r="B38" s="13" t="s">
        <v>86</v>
      </c>
      <c r="C38" s="12" t="s">
        <v>23</v>
      </c>
      <c r="D38" s="12">
        <v>490</v>
      </c>
      <c r="E38" s="12">
        <v>0.2</v>
      </c>
      <c r="F38" s="12">
        <v>550</v>
      </c>
      <c r="G38" s="12">
        <v>11</v>
      </c>
      <c r="H38" s="12">
        <v>0.95</v>
      </c>
      <c r="I38" s="12">
        <v>7800</v>
      </c>
      <c r="J38" s="6">
        <v>26</v>
      </c>
      <c r="K38" s="3">
        <v>5.2</v>
      </c>
      <c r="L38" s="3">
        <v>230</v>
      </c>
      <c r="M38" s="3">
        <v>300</v>
      </c>
      <c r="N38" s="22">
        <v>250</v>
      </c>
      <c r="O38" s="27">
        <v>365</v>
      </c>
      <c r="P38" s="6">
        <f t="shared" si="0"/>
        <v>98</v>
      </c>
      <c r="Q38" s="19">
        <f t="shared" si="1"/>
        <v>1.6448536269514715</v>
      </c>
      <c r="R38" s="3">
        <f t="shared" si="2"/>
        <v>29</v>
      </c>
      <c r="S38" s="20">
        <f t="shared" si="3"/>
        <v>296</v>
      </c>
      <c r="T38" s="20">
        <f t="shared" si="4"/>
        <v>315</v>
      </c>
      <c r="U38" s="20">
        <f t="shared" si="5"/>
        <v>530</v>
      </c>
      <c r="V38" s="21" t="str">
        <f t="shared" si="6"/>
        <v>OK - STOCK SUFFICIENT</v>
      </c>
    </row>
    <row r="39" spans="1:22" ht="15" thickBot="1" x14ac:dyDescent="0.35">
      <c r="A39" s="16" t="s">
        <v>87</v>
      </c>
      <c r="B39" s="13" t="s">
        <v>88</v>
      </c>
      <c r="C39" s="12" t="s">
        <v>30</v>
      </c>
      <c r="D39" s="12">
        <v>50</v>
      </c>
      <c r="E39" s="12">
        <v>0.15</v>
      </c>
      <c r="F39" s="12">
        <v>280</v>
      </c>
      <c r="G39" s="12">
        <v>6</v>
      </c>
      <c r="H39" s="12">
        <v>0.9</v>
      </c>
      <c r="I39" s="12">
        <v>21000</v>
      </c>
      <c r="J39" s="6">
        <v>70</v>
      </c>
      <c r="K39" s="3">
        <v>12.1</v>
      </c>
      <c r="L39" s="3">
        <v>610</v>
      </c>
      <c r="M39" s="3">
        <v>0</v>
      </c>
      <c r="N39" s="22">
        <v>800</v>
      </c>
      <c r="O39" s="27">
        <v>365</v>
      </c>
      <c r="P39" s="6">
        <f t="shared" ref="P39:P56" si="7">D39*E39</f>
        <v>7.5</v>
      </c>
      <c r="Q39" s="19">
        <f t="shared" si="1"/>
        <v>1.2815515655446006</v>
      </c>
      <c r="R39" s="3">
        <f t="shared" ref="R39:R56" si="8">ROUNDUP(Q39 * K39 * SQRT(G39), 0)</f>
        <v>38</v>
      </c>
      <c r="S39" s="20">
        <f t="shared" ref="S39:S56" si="9">ROUND(SQRT((2 * I39 * F39) / P39), 0)</f>
        <v>1252</v>
      </c>
      <c r="T39" s="20">
        <f t="shared" ref="T39:T56" si="10">ROUNDUP((J39 * G39) + R39, 0)</f>
        <v>458</v>
      </c>
      <c r="U39" s="20">
        <f t="shared" ref="U39:U56" si="11">L39 + M39</f>
        <v>610</v>
      </c>
      <c r="V39" s="21" t="str">
        <f t="shared" ref="V39:V56" si="12">IF(U39 &lt;= T39, CONCATENATE("REORDER ", MAX(S39, N39), " UNITS"), "OK - STOCK SUFFICIENT")</f>
        <v>OK - STOCK SUFFICIENT</v>
      </c>
    </row>
    <row r="40" spans="1:22" ht="15" thickBot="1" x14ac:dyDescent="0.35">
      <c r="A40" s="16" t="s">
        <v>89</v>
      </c>
      <c r="B40" s="13" t="s">
        <v>90</v>
      </c>
      <c r="C40" s="12" t="s">
        <v>16</v>
      </c>
      <c r="D40" s="12">
        <v>45</v>
      </c>
      <c r="E40" s="12">
        <v>0.15</v>
      </c>
      <c r="F40" s="12">
        <v>350</v>
      </c>
      <c r="G40" s="12">
        <v>8</v>
      </c>
      <c r="H40" s="12">
        <v>0.9</v>
      </c>
      <c r="I40" s="12">
        <v>29000</v>
      </c>
      <c r="J40" s="6">
        <v>96.7</v>
      </c>
      <c r="K40" s="3">
        <v>16.8</v>
      </c>
      <c r="L40" s="3">
        <v>890</v>
      </c>
      <c r="M40" s="3">
        <v>0</v>
      </c>
      <c r="N40" s="22">
        <v>1200</v>
      </c>
      <c r="O40" s="27">
        <v>730</v>
      </c>
      <c r="P40" s="6">
        <f t="shared" si="7"/>
        <v>6.75</v>
      </c>
      <c r="Q40" s="19">
        <f t="shared" si="1"/>
        <v>1.2815515655446006</v>
      </c>
      <c r="R40" s="3">
        <f t="shared" si="8"/>
        <v>61</v>
      </c>
      <c r="S40" s="20">
        <f t="shared" si="9"/>
        <v>1734</v>
      </c>
      <c r="T40" s="20">
        <f t="shared" si="10"/>
        <v>835</v>
      </c>
      <c r="U40" s="20">
        <f t="shared" si="11"/>
        <v>890</v>
      </c>
      <c r="V40" s="21" t="str">
        <f t="shared" si="12"/>
        <v>OK - STOCK SUFFICIENT</v>
      </c>
    </row>
    <row r="41" spans="1:22" ht="15" thickBot="1" x14ac:dyDescent="0.35">
      <c r="A41" s="16" t="s">
        <v>91</v>
      </c>
      <c r="B41" s="13" t="s">
        <v>92</v>
      </c>
      <c r="C41" s="12" t="s">
        <v>37</v>
      </c>
      <c r="D41" s="12">
        <v>5</v>
      </c>
      <c r="E41" s="12">
        <v>0.12</v>
      </c>
      <c r="F41" s="12">
        <v>200</v>
      </c>
      <c r="G41" s="12">
        <v>4</v>
      </c>
      <c r="H41" s="12">
        <v>0.98</v>
      </c>
      <c r="I41" s="12">
        <v>120000</v>
      </c>
      <c r="J41" s="6">
        <v>400</v>
      </c>
      <c r="K41" s="3">
        <v>62</v>
      </c>
      <c r="L41" s="3">
        <v>3200</v>
      </c>
      <c r="M41" s="3">
        <v>5000</v>
      </c>
      <c r="N41" s="22">
        <v>5000</v>
      </c>
      <c r="O41" s="27">
        <v>730</v>
      </c>
      <c r="P41" s="6">
        <f t="shared" si="7"/>
        <v>0.6</v>
      </c>
      <c r="Q41" s="19">
        <f t="shared" si="1"/>
        <v>2.0537489106318221</v>
      </c>
      <c r="R41" s="3">
        <f t="shared" si="8"/>
        <v>255</v>
      </c>
      <c r="S41" s="20">
        <f t="shared" si="9"/>
        <v>8944</v>
      </c>
      <c r="T41" s="20">
        <f t="shared" si="10"/>
        <v>1855</v>
      </c>
      <c r="U41" s="20">
        <f t="shared" si="11"/>
        <v>8200</v>
      </c>
      <c r="V41" s="21" t="str">
        <f t="shared" si="12"/>
        <v>OK - STOCK SUFFICIENT</v>
      </c>
    </row>
    <row r="42" spans="1:22" ht="15" thickBot="1" x14ac:dyDescent="0.35">
      <c r="A42" s="16" t="s">
        <v>93</v>
      </c>
      <c r="B42" s="13" t="s">
        <v>94</v>
      </c>
      <c r="C42" s="12" t="s">
        <v>76</v>
      </c>
      <c r="D42" s="12">
        <v>195</v>
      </c>
      <c r="E42" s="12">
        <v>0.2</v>
      </c>
      <c r="F42" s="12">
        <v>350</v>
      </c>
      <c r="G42" s="12">
        <v>8</v>
      </c>
      <c r="H42" s="12">
        <v>0.95</v>
      </c>
      <c r="I42" s="12">
        <v>8900</v>
      </c>
      <c r="J42" s="6">
        <v>29.7</v>
      </c>
      <c r="K42" s="3">
        <v>5.8</v>
      </c>
      <c r="L42" s="3">
        <v>210</v>
      </c>
      <c r="M42" s="3">
        <v>0</v>
      </c>
      <c r="N42" s="22">
        <v>300</v>
      </c>
      <c r="O42" s="27">
        <v>1095</v>
      </c>
      <c r="P42" s="6">
        <f t="shared" si="7"/>
        <v>39</v>
      </c>
      <c r="Q42" s="19">
        <f t="shared" si="1"/>
        <v>1.6448536269514715</v>
      </c>
      <c r="R42" s="3">
        <f t="shared" si="8"/>
        <v>27</v>
      </c>
      <c r="S42" s="20">
        <f t="shared" si="9"/>
        <v>400</v>
      </c>
      <c r="T42" s="20">
        <f t="shared" si="10"/>
        <v>265</v>
      </c>
      <c r="U42" s="20">
        <f t="shared" si="11"/>
        <v>210</v>
      </c>
      <c r="V42" s="21" t="str">
        <f t="shared" si="12"/>
        <v>REORDER 400 UNITS</v>
      </c>
    </row>
    <row r="43" spans="1:22" ht="15" thickBot="1" x14ac:dyDescent="0.35">
      <c r="A43" s="16" t="s">
        <v>95</v>
      </c>
      <c r="B43" s="13" t="s">
        <v>96</v>
      </c>
      <c r="C43" s="12" t="s">
        <v>16</v>
      </c>
      <c r="D43" s="12">
        <v>4</v>
      </c>
      <c r="E43" s="12">
        <v>0.12</v>
      </c>
      <c r="F43" s="12">
        <v>200</v>
      </c>
      <c r="G43" s="12">
        <v>4</v>
      </c>
      <c r="H43" s="12">
        <v>0.98</v>
      </c>
      <c r="I43" s="12">
        <v>180000</v>
      </c>
      <c r="J43" s="6">
        <v>600</v>
      </c>
      <c r="K43" s="3">
        <v>88</v>
      </c>
      <c r="L43" s="3">
        <v>4500</v>
      </c>
      <c r="M43" s="3">
        <v>0</v>
      </c>
      <c r="N43" s="22">
        <v>8000</v>
      </c>
      <c r="O43" s="27">
        <v>730</v>
      </c>
      <c r="P43" s="6">
        <f t="shared" si="7"/>
        <v>0.48</v>
      </c>
      <c r="Q43" s="19">
        <f t="shared" si="1"/>
        <v>2.0537489106318221</v>
      </c>
      <c r="R43" s="3">
        <f t="shared" si="8"/>
        <v>362</v>
      </c>
      <c r="S43" s="20">
        <f t="shared" si="9"/>
        <v>12247</v>
      </c>
      <c r="T43" s="20">
        <f t="shared" si="10"/>
        <v>2762</v>
      </c>
      <c r="U43" s="20">
        <f t="shared" si="11"/>
        <v>4500</v>
      </c>
      <c r="V43" s="21" t="str">
        <f t="shared" si="12"/>
        <v>OK - STOCK SUFFICIENT</v>
      </c>
    </row>
    <row r="44" spans="1:22" ht="15" thickBot="1" x14ac:dyDescent="0.35">
      <c r="A44" s="16" t="s">
        <v>97</v>
      </c>
      <c r="B44" s="13" t="s">
        <v>98</v>
      </c>
      <c r="C44" s="12" t="s">
        <v>30</v>
      </c>
      <c r="D44" s="12">
        <v>90</v>
      </c>
      <c r="E44" s="12">
        <v>0.18</v>
      </c>
      <c r="F44" s="12">
        <v>320</v>
      </c>
      <c r="G44" s="12">
        <v>7</v>
      </c>
      <c r="H44" s="12">
        <v>0.9</v>
      </c>
      <c r="I44" s="12">
        <v>8400</v>
      </c>
      <c r="J44" s="6">
        <v>28</v>
      </c>
      <c r="K44" s="3">
        <v>5.6</v>
      </c>
      <c r="L44" s="3">
        <v>190</v>
      </c>
      <c r="M44" s="3">
        <v>0</v>
      </c>
      <c r="N44" s="22">
        <v>300</v>
      </c>
      <c r="O44" s="27">
        <v>180</v>
      </c>
      <c r="P44" s="6">
        <f t="shared" si="7"/>
        <v>16.2</v>
      </c>
      <c r="Q44" s="19">
        <f t="shared" si="1"/>
        <v>1.2815515655446006</v>
      </c>
      <c r="R44" s="3">
        <f t="shared" si="8"/>
        <v>19</v>
      </c>
      <c r="S44" s="20">
        <f t="shared" si="9"/>
        <v>576</v>
      </c>
      <c r="T44" s="20">
        <f t="shared" si="10"/>
        <v>215</v>
      </c>
      <c r="U44" s="20">
        <f t="shared" si="11"/>
        <v>190</v>
      </c>
      <c r="V44" s="21" t="str">
        <f t="shared" si="12"/>
        <v>REORDER 576 UNITS</v>
      </c>
    </row>
    <row r="45" spans="1:22" ht="15" thickBot="1" x14ac:dyDescent="0.35">
      <c r="A45" s="16" t="s">
        <v>99</v>
      </c>
      <c r="B45" s="13" t="s">
        <v>100</v>
      </c>
      <c r="C45" s="12" t="s">
        <v>30</v>
      </c>
      <c r="D45" s="12">
        <v>420</v>
      </c>
      <c r="E45" s="12">
        <v>0.18</v>
      </c>
      <c r="F45" s="12">
        <v>420</v>
      </c>
      <c r="G45" s="12">
        <v>9</v>
      </c>
      <c r="H45" s="12">
        <v>0.9</v>
      </c>
      <c r="I45" s="12">
        <v>3900</v>
      </c>
      <c r="J45" s="6">
        <v>13</v>
      </c>
      <c r="K45" s="3">
        <v>3.1</v>
      </c>
      <c r="L45" s="3">
        <v>110</v>
      </c>
      <c r="M45" s="3">
        <v>200</v>
      </c>
      <c r="N45" s="22">
        <v>150</v>
      </c>
      <c r="O45" s="27">
        <v>365</v>
      </c>
      <c r="P45" s="6">
        <f t="shared" si="7"/>
        <v>75.599999999999994</v>
      </c>
      <c r="Q45" s="19">
        <f t="shared" si="1"/>
        <v>1.2815515655446006</v>
      </c>
      <c r="R45" s="3">
        <f t="shared" si="8"/>
        <v>12</v>
      </c>
      <c r="S45" s="20">
        <f t="shared" si="9"/>
        <v>208</v>
      </c>
      <c r="T45" s="20">
        <f t="shared" si="10"/>
        <v>129</v>
      </c>
      <c r="U45" s="20">
        <f t="shared" si="11"/>
        <v>310</v>
      </c>
      <c r="V45" s="21" t="str">
        <f t="shared" si="12"/>
        <v>OK - STOCK SUFFICIENT</v>
      </c>
    </row>
    <row r="46" spans="1:22" ht="15" thickBot="1" x14ac:dyDescent="0.35">
      <c r="A46" s="16" t="s">
        <v>101</v>
      </c>
      <c r="B46" s="13" t="s">
        <v>102</v>
      </c>
      <c r="C46" s="12" t="s">
        <v>16</v>
      </c>
      <c r="D46" s="12">
        <v>210</v>
      </c>
      <c r="E46" s="12">
        <v>0.18</v>
      </c>
      <c r="F46" s="12">
        <v>450</v>
      </c>
      <c r="G46" s="12">
        <v>8</v>
      </c>
      <c r="H46" s="12">
        <v>0.95</v>
      </c>
      <c r="I46" s="12">
        <v>9200</v>
      </c>
      <c r="J46" s="6">
        <v>30.7</v>
      </c>
      <c r="K46" s="3">
        <v>5.7</v>
      </c>
      <c r="L46" s="3">
        <v>250</v>
      </c>
      <c r="M46" s="3">
        <v>0</v>
      </c>
      <c r="N46" s="22">
        <v>300</v>
      </c>
      <c r="O46" s="27">
        <v>730</v>
      </c>
      <c r="P46" s="6">
        <f t="shared" si="7"/>
        <v>37.799999999999997</v>
      </c>
      <c r="Q46" s="19">
        <f t="shared" si="1"/>
        <v>1.6448536269514715</v>
      </c>
      <c r="R46" s="3">
        <f t="shared" si="8"/>
        <v>27</v>
      </c>
      <c r="S46" s="20">
        <f t="shared" si="9"/>
        <v>468</v>
      </c>
      <c r="T46" s="20">
        <f t="shared" si="10"/>
        <v>273</v>
      </c>
      <c r="U46" s="20">
        <f t="shared" si="11"/>
        <v>250</v>
      </c>
      <c r="V46" s="21" t="str">
        <f t="shared" si="12"/>
        <v>REORDER 468 UNITS</v>
      </c>
    </row>
    <row r="47" spans="1:22" ht="15" thickBot="1" x14ac:dyDescent="0.35">
      <c r="A47" s="16" t="s">
        <v>103</v>
      </c>
      <c r="B47" s="13" t="s">
        <v>104</v>
      </c>
      <c r="C47" s="12" t="s">
        <v>105</v>
      </c>
      <c r="D47" s="12">
        <v>160</v>
      </c>
      <c r="E47" s="12">
        <v>0.15</v>
      </c>
      <c r="F47" s="12">
        <v>300</v>
      </c>
      <c r="G47" s="12">
        <v>6</v>
      </c>
      <c r="H47" s="12">
        <v>0.9</v>
      </c>
      <c r="I47" s="12">
        <v>6500</v>
      </c>
      <c r="J47" s="6">
        <v>21.7</v>
      </c>
      <c r="K47" s="3">
        <v>4.8</v>
      </c>
      <c r="L47" s="3">
        <v>180</v>
      </c>
      <c r="M47" s="3">
        <v>0</v>
      </c>
      <c r="N47" s="22">
        <v>200</v>
      </c>
      <c r="O47" s="27">
        <v>547</v>
      </c>
      <c r="P47" s="6">
        <f t="shared" si="7"/>
        <v>24</v>
      </c>
      <c r="Q47" s="19">
        <f t="shared" si="1"/>
        <v>1.2815515655446006</v>
      </c>
      <c r="R47" s="3">
        <f t="shared" si="8"/>
        <v>16</v>
      </c>
      <c r="S47" s="20">
        <f t="shared" si="9"/>
        <v>403</v>
      </c>
      <c r="T47" s="20">
        <f t="shared" si="10"/>
        <v>147</v>
      </c>
      <c r="U47" s="20">
        <f t="shared" si="11"/>
        <v>180</v>
      </c>
      <c r="V47" s="21" t="str">
        <f t="shared" si="12"/>
        <v>OK - STOCK SUFFICIENT</v>
      </c>
    </row>
    <row r="48" spans="1:22" ht="15" thickBot="1" x14ac:dyDescent="0.35">
      <c r="A48" s="16" t="s">
        <v>106</v>
      </c>
      <c r="B48" s="13" t="s">
        <v>107</v>
      </c>
      <c r="C48" s="12" t="s">
        <v>71</v>
      </c>
      <c r="D48" s="12">
        <v>180</v>
      </c>
      <c r="E48" s="12">
        <v>0.2</v>
      </c>
      <c r="F48" s="12">
        <v>350</v>
      </c>
      <c r="G48" s="12">
        <v>8</v>
      </c>
      <c r="H48" s="12">
        <v>0.9</v>
      </c>
      <c r="I48" s="12">
        <v>4800</v>
      </c>
      <c r="J48" s="6">
        <v>16</v>
      </c>
      <c r="K48" s="3">
        <v>3.6</v>
      </c>
      <c r="L48" s="3">
        <v>130</v>
      </c>
      <c r="M48" s="3">
        <v>0</v>
      </c>
      <c r="N48" s="22">
        <v>200</v>
      </c>
      <c r="O48" s="27">
        <v>365</v>
      </c>
      <c r="P48" s="6">
        <f t="shared" si="7"/>
        <v>36</v>
      </c>
      <c r="Q48" s="19">
        <f t="shared" si="1"/>
        <v>1.2815515655446006</v>
      </c>
      <c r="R48" s="3">
        <f t="shared" si="8"/>
        <v>14</v>
      </c>
      <c r="S48" s="20">
        <f t="shared" si="9"/>
        <v>306</v>
      </c>
      <c r="T48" s="20">
        <f t="shared" si="10"/>
        <v>142</v>
      </c>
      <c r="U48" s="20">
        <f t="shared" si="11"/>
        <v>130</v>
      </c>
      <c r="V48" s="21" t="str">
        <f t="shared" si="12"/>
        <v>REORDER 306 UNITS</v>
      </c>
    </row>
    <row r="49" spans="1:22" ht="15" thickBot="1" x14ac:dyDescent="0.35">
      <c r="A49" s="16" t="s">
        <v>108</v>
      </c>
      <c r="B49" s="13" t="s">
        <v>109</v>
      </c>
      <c r="C49" s="12" t="s">
        <v>76</v>
      </c>
      <c r="D49" s="12">
        <v>225</v>
      </c>
      <c r="E49" s="12">
        <v>0.2</v>
      </c>
      <c r="F49" s="12">
        <v>350</v>
      </c>
      <c r="G49" s="12">
        <v>7</v>
      </c>
      <c r="H49" s="12">
        <v>0.95</v>
      </c>
      <c r="I49" s="12">
        <v>9100</v>
      </c>
      <c r="J49" s="6">
        <v>30.3</v>
      </c>
      <c r="K49" s="3">
        <v>5.9</v>
      </c>
      <c r="L49" s="3">
        <v>240</v>
      </c>
      <c r="M49" s="3">
        <v>0</v>
      </c>
      <c r="N49" s="22">
        <v>300</v>
      </c>
      <c r="O49" s="27">
        <v>730</v>
      </c>
      <c r="P49" s="6">
        <f t="shared" si="7"/>
        <v>45</v>
      </c>
      <c r="Q49" s="19">
        <f t="shared" si="1"/>
        <v>1.6448536269514715</v>
      </c>
      <c r="R49" s="3">
        <f t="shared" si="8"/>
        <v>26</v>
      </c>
      <c r="S49" s="20">
        <f t="shared" si="9"/>
        <v>376</v>
      </c>
      <c r="T49" s="20">
        <f t="shared" si="10"/>
        <v>239</v>
      </c>
      <c r="U49" s="20">
        <f t="shared" si="11"/>
        <v>240</v>
      </c>
      <c r="V49" s="21" t="str">
        <f t="shared" si="12"/>
        <v>OK - STOCK SUFFICIENT</v>
      </c>
    </row>
    <row r="50" spans="1:22" ht="15" thickBot="1" x14ac:dyDescent="0.35">
      <c r="A50" s="16" t="s">
        <v>110</v>
      </c>
      <c r="B50" s="13" t="s">
        <v>111</v>
      </c>
      <c r="C50" s="12" t="s">
        <v>37</v>
      </c>
      <c r="D50" s="12">
        <v>45</v>
      </c>
      <c r="E50" s="12">
        <v>0.15</v>
      </c>
      <c r="F50" s="12">
        <v>280</v>
      </c>
      <c r="G50" s="12">
        <v>6</v>
      </c>
      <c r="H50" s="12">
        <v>0.9</v>
      </c>
      <c r="I50" s="12">
        <v>7200</v>
      </c>
      <c r="J50" s="6">
        <v>24</v>
      </c>
      <c r="K50" s="3">
        <v>4.5</v>
      </c>
      <c r="L50" s="3">
        <v>210</v>
      </c>
      <c r="M50" s="3">
        <v>0</v>
      </c>
      <c r="N50" s="22">
        <v>300</v>
      </c>
      <c r="O50" s="27">
        <v>730</v>
      </c>
      <c r="P50" s="6">
        <f t="shared" si="7"/>
        <v>6.75</v>
      </c>
      <c r="Q50" s="19">
        <f t="shared" si="1"/>
        <v>1.2815515655446006</v>
      </c>
      <c r="R50" s="3">
        <f t="shared" si="8"/>
        <v>15</v>
      </c>
      <c r="S50" s="20">
        <f t="shared" si="9"/>
        <v>773</v>
      </c>
      <c r="T50" s="20">
        <f t="shared" si="10"/>
        <v>159</v>
      </c>
      <c r="U50" s="20">
        <f t="shared" si="11"/>
        <v>210</v>
      </c>
      <c r="V50" s="21" t="str">
        <f t="shared" si="12"/>
        <v>OK - STOCK SUFFICIENT</v>
      </c>
    </row>
    <row r="51" spans="1:22" ht="15" thickBot="1" x14ac:dyDescent="0.35">
      <c r="A51" s="16" t="s">
        <v>112</v>
      </c>
      <c r="B51" s="13" t="s">
        <v>113</v>
      </c>
      <c r="C51" s="12" t="s">
        <v>48</v>
      </c>
      <c r="D51" s="12">
        <v>40</v>
      </c>
      <c r="E51" s="12">
        <v>0.15</v>
      </c>
      <c r="F51" s="12">
        <v>250</v>
      </c>
      <c r="G51" s="12">
        <v>7</v>
      </c>
      <c r="H51" s="12">
        <v>0.9</v>
      </c>
      <c r="I51" s="12">
        <v>5100</v>
      </c>
      <c r="J51" s="6">
        <v>17</v>
      </c>
      <c r="K51" s="3">
        <v>3.7</v>
      </c>
      <c r="L51" s="3">
        <v>140</v>
      </c>
      <c r="M51" s="3">
        <v>0</v>
      </c>
      <c r="N51" s="22">
        <v>250</v>
      </c>
      <c r="O51" s="27">
        <v>730</v>
      </c>
      <c r="P51" s="6">
        <f t="shared" si="7"/>
        <v>6</v>
      </c>
      <c r="Q51" s="19">
        <f t="shared" si="1"/>
        <v>1.2815515655446006</v>
      </c>
      <c r="R51" s="3">
        <f t="shared" si="8"/>
        <v>13</v>
      </c>
      <c r="S51" s="20">
        <f t="shared" si="9"/>
        <v>652</v>
      </c>
      <c r="T51" s="20">
        <f t="shared" si="10"/>
        <v>132</v>
      </c>
      <c r="U51" s="20">
        <f t="shared" si="11"/>
        <v>140</v>
      </c>
      <c r="V51" s="21" t="str">
        <f t="shared" si="12"/>
        <v>OK - STOCK SUFFICIENT</v>
      </c>
    </row>
    <row r="52" spans="1:22" ht="15" thickBot="1" x14ac:dyDescent="0.35">
      <c r="A52" s="16" t="s">
        <v>114</v>
      </c>
      <c r="B52" s="13" t="s">
        <v>115</v>
      </c>
      <c r="C52" s="12" t="s">
        <v>30</v>
      </c>
      <c r="D52" s="12">
        <v>190</v>
      </c>
      <c r="E52" s="12">
        <v>0.15</v>
      </c>
      <c r="F52" s="12">
        <v>380</v>
      </c>
      <c r="G52" s="12">
        <v>7</v>
      </c>
      <c r="H52" s="12">
        <v>0.9</v>
      </c>
      <c r="I52" s="12">
        <v>6800</v>
      </c>
      <c r="J52" s="6">
        <v>22.7</v>
      </c>
      <c r="K52" s="3">
        <v>4.9000000000000004</v>
      </c>
      <c r="L52" s="3">
        <v>190</v>
      </c>
      <c r="M52" s="3">
        <v>0</v>
      </c>
      <c r="N52" s="22">
        <v>250</v>
      </c>
      <c r="O52" s="27">
        <v>365</v>
      </c>
      <c r="P52" s="6">
        <f t="shared" si="7"/>
        <v>28.5</v>
      </c>
      <c r="Q52" s="19">
        <f t="shared" si="1"/>
        <v>1.2815515655446006</v>
      </c>
      <c r="R52" s="3">
        <f t="shared" si="8"/>
        <v>17</v>
      </c>
      <c r="S52" s="20">
        <f t="shared" si="9"/>
        <v>426</v>
      </c>
      <c r="T52" s="20">
        <f t="shared" si="10"/>
        <v>176</v>
      </c>
      <c r="U52" s="20">
        <f t="shared" si="11"/>
        <v>190</v>
      </c>
      <c r="V52" s="21" t="str">
        <f t="shared" si="12"/>
        <v>OK - STOCK SUFFICIENT</v>
      </c>
    </row>
    <row r="53" spans="1:22" ht="28.2" thickBot="1" x14ac:dyDescent="0.35">
      <c r="A53" s="16" t="s">
        <v>116</v>
      </c>
      <c r="B53" s="13" t="s">
        <v>117</v>
      </c>
      <c r="C53" s="12" t="s">
        <v>62</v>
      </c>
      <c r="D53" s="12">
        <v>210</v>
      </c>
      <c r="E53" s="12">
        <v>0.2</v>
      </c>
      <c r="F53" s="12">
        <v>350</v>
      </c>
      <c r="G53" s="12">
        <v>8</v>
      </c>
      <c r="H53" s="12">
        <v>0.9</v>
      </c>
      <c r="I53" s="12">
        <v>5200</v>
      </c>
      <c r="J53" s="6">
        <v>17.3</v>
      </c>
      <c r="K53" s="3">
        <v>3.9</v>
      </c>
      <c r="L53" s="3">
        <v>150</v>
      </c>
      <c r="M53" s="3">
        <v>200</v>
      </c>
      <c r="N53" s="22">
        <v>200</v>
      </c>
      <c r="O53" s="27">
        <v>730</v>
      </c>
      <c r="P53" s="6">
        <f t="shared" si="7"/>
        <v>42</v>
      </c>
      <c r="Q53" s="19">
        <f t="shared" si="1"/>
        <v>1.2815515655446006</v>
      </c>
      <c r="R53" s="3">
        <f t="shared" si="8"/>
        <v>15</v>
      </c>
      <c r="S53" s="20">
        <f t="shared" si="9"/>
        <v>294</v>
      </c>
      <c r="T53" s="20">
        <f t="shared" si="10"/>
        <v>154</v>
      </c>
      <c r="U53" s="20">
        <f t="shared" si="11"/>
        <v>350</v>
      </c>
      <c r="V53" s="21" t="str">
        <f t="shared" si="12"/>
        <v>OK - STOCK SUFFICIENT</v>
      </c>
    </row>
    <row r="54" spans="1:22" ht="28.2" thickBot="1" x14ac:dyDescent="0.35">
      <c r="A54" s="16" t="s">
        <v>118</v>
      </c>
      <c r="B54" s="13" t="s">
        <v>119</v>
      </c>
      <c r="C54" s="12" t="s">
        <v>23</v>
      </c>
      <c r="D54" s="12">
        <v>550</v>
      </c>
      <c r="E54" s="12">
        <v>0.22</v>
      </c>
      <c r="F54" s="12">
        <v>500</v>
      </c>
      <c r="G54" s="12">
        <v>11</v>
      </c>
      <c r="H54" s="12">
        <v>0.9</v>
      </c>
      <c r="I54" s="12">
        <v>2400</v>
      </c>
      <c r="J54" s="6">
        <v>8</v>
      </c>
      <c r="K54" s="3">
        <v>2.2999999999999998</v>
      </c>
      <c r="L54" s="3">
        <v>70</v>
      </c>
      <c r="M54" s="3">
        <v>0</v>
      </c>
      <c r="N54" s="22">
        <v>100</v>
      </c>
      <c r="O54" s="27">
        <v>547</v>
      </c>
      <c r="P54" s="6">
        <f t="shared" si="7"/>
        <v>121</v>
      </c>
      <c r="Q54" s="19">
        <f t="shared" si="1"/>
        <v>1.2815515655446006</v>
      </c>
      <c r="R54" s="3">
        <f t="shared" si="8"/>
        <v>10</v>
      </c>
      <c r="S54" s="20">
        <f t="shared" si="9"/>
        <v>141</v>
      </c>
      <c r="T54" s="20">
        <f t="shared" si="10"/>
        <v>98</v>
      </c>
      <c r="U54" s="20">
        <f t="shared" si="11"/>
        <v>70</v>
      </c>
      <c r="V54" s="21" t="str">
        <f t="shared" si="12"/>
        <v>REORDER 141 UNITS</v>
      </c>
    </row>
    <row r="55" spans="1:22" ht="15" thickBot="1" x14ac:dyDescent="0.35">
      <c r="A55" s="16" t="s">
        <v>120</v>
      </c>
      <c r="B55" s="13" t="s">
        <v>121</v>
      </c>
      <c r="C55" s="12" t="s">
        <v>76</v>
      </c>
      <c r="D55" s="12">
        <v>240</v>
      </c>
      <c r="E55" s="12">
        <v>0.2</v>
      </c>
      <c r="F55" s="12">
        <v>380</v>
      </c>
      <c r="G55" s="12">
        <v>8</v>
      </c>
      <c r="H55" s="12">
        <v>0.9</v>
      </c>
      <c r="I55" s="12">
        <v>4300</v>
      </c>
      <c r="J55" s="6">
        <v>14.3</v>
      </c>
      <c r="K55" s="3">
        <v>3.4</v>
      </c>
      <c r="L55" s="3">
        <v>110</v>
      </c>
      <c r="M55" s="3">
        <v>0</v>
      </c>
      <c r="N55" s="22">
        <v>150</v>
      </c>
      <c r="O55" s="27">
        <v>1095</v>
      </c>
      <c r="P55" s="6">
        <f t="shared" si="7"/>
        <v>48</v>
      </c>
      <c r="Q55" s="19">
        <f t="shared" si="1"/>
        <v>1.2815515655446006</v>
      </c>
      <c r="R55" s="3">
        <f t="shared" si="8"/>
        <v>13</v>
      </c>
      <c r="S55" s="20">
        <f t="shared" si="9"/>
        <v>261</v>
      </c>
      <c r="T55" s="20">
        <f t="shared" si="10"/>
        <v>128</v>
      </c>
      <c r="U55" s="20">
        <f t="shared" si="11"/>
        <v>110</v>
      </c>
      <c r="V55" s="21" t="str">
        <f t="shared" si="12"/>
        <v>REORDER 261 UNITS</v>
      </c>
    </row>
    <row r="56" spans="1:22" ht="15" thickBot="1" x14ac:dyDescent="0.35">
      <c r="A56" s="16" t="s">
        <v>122</v>
      </c>
      <c r="B56" s="13" t="s">
        <v>123</v>
      </c>
      <c r="C56" s="12" t="s">
        <v>37</v>
      </c>
      <c r="D56" s="12">
        <v>250</v>
      </c>
      <c r="E56" s="12">
        <v>0.22</v>
      </c>
      <c r="F56" s="12">
        <v>380</v>
      </c>
      <c r="G56" s="12">
        <v>6</v>
      </c>
      <c r="H56" s="12">
        <v>0.95</v>
      </c>
      <c r="I56" s="12">
        <v>6700</v>
      </c>
      <c r="J56" s="6">
        <v>22.3</v>
      </c>
      <c r="K56" s="3">
        <v>4.5999999999999996</v>
      </c>
      <c r="L56" s="3">
        <v>170</v>
      </c>
      <c r="M56" s="3">
        <v>0</v>
      </c>
      <c r="N56" s="22">
        <v>200</v>
      </c>
      <c r="O56" s="27">
        <v>730</v>
      </c>
      <c r="P56" s="24">
        <f t="shared" si="7"/>
        <v>55</v>
      </c>
      <c r="Q56" s="19">
        <f t="shared" si="1"/>
        <v>1.6448536269514715</v>
      </c>
      <c r="R56" s="17">
        <f t="shared" si="8"/>
        <v>19</v>
      </c>
      <c r="S56" s="20">
        <f t="shared" si="9"/>
        <v>304</v>
      </c>
      <c r="T56" s="20">
        <f t="shared" si="10"/>
        <v>153</v>
      </c>
      <c r="U56" s="20">
        <f t="shared" si="11"/>
        <v>170</v>
      </c>
      <c r="V56" s="21" t="str">
        <f t="shared" si="12"/>
        <v>OK - STOCK SUFFICIENT</v>
      </c>
    </row>
  </sheetData>
  <mergeCells count="3">
    <mergeCell ref="B2:D2"/>
    <mergeCell ref="B3:D3"/>
    <mergeCell ref="B4:D4"/>
  </mergeCells>
  <phoneticPr fontId="3" type="noConversion"/>
  <conditionalFormatting sqref="R1:R59 R61:R1048576">
    <cfRule type="dataBar" priority="1">
      <dataBar>
        <cfvo type="num" val="0"/>
        <cfvo type="max"/>
        <color rgb="FF008AEF"/>
      </dataBar>
      <extLst>
        <ext xmlns:x14="http://schemas.microsoft.com/office/spreadsheetml/2009/9/main" uri="{B025F937-C7B1-47D3-B67F-A62EFF666E3E}">
          <x14:id>{4A331C24-BBC2-4FCF-AC64-BFCD4F27E4FE}</x14:id>
        </ext>
      </extLst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331C24-BBC2-4FCF-AC64-BFCD4F27E4FE}">
            <x14:dataBar minLength="0" maxLength="100" border="1" negativeBarBorderColorSameAsPositive="0">
              <x14:cfvo type="num">
                <xm:f>0</xm:f>
              </x14:cfvo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R1:R59 R61:R1048576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Yadav</dc:creator>
  <cp:lastModifiedBy>Alok Yadav</cp:lastModifiedBy>
  <dcterms:created xsi:type="dcterms:W3CDTF">2026-09-15T14:50:08Z</dcterms:created>
  <dcterms:modified xsi:type="dcterms:W3CDTF">2026-09-15T19:37:11Z</dcterms:modified>
</cp:coreProperties>
</file>